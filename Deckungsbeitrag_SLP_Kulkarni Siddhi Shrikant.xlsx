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i\Documents\Job &amp; Internship Applications - Masters\2026\Stadtwerke Marburg\Projekt 2\"/>
    </mc:Choice>
  </mc:AlternateContent>
  <xr:revisionPtr revIDLastSave="0" documentId="13_ncr:1_{95743CC9-3A7B-4A13-8D30-D1AEADEC63A6}" xr6:coauthVersionLast="47" xr6:coauthVersionMax="47" xr10:uidLastSave="{00000000-0000-0000-0000-000000000000}"/>
  <bookViews>
    <workbookView xWindow="-110" yWindow="-110" windowWidth="19420" windowHeight="10300" tabRatio="686" activeTab="3" xr2:uid="{AE09F794-E496-4C19-94FA-655AF2AFA76F}"/>
  </bookViews>
  <sheets>
    <sheet name="Übersicht" sheetId="9" r:id="rId1"/>
    <sheet name="KPI" sheetId="8" r:id="rId2"/>
    <sheet name="Annahmen" sheetId="2" r:id="rId3"/>
    <sheet name="Kunde-SLP_Tagesmodell" sheetId="1" r:id="rId4"/>
    <sheet name="Sensitivität" sheetId="7" r:id="rId5"/>
    <sheet name="BDEW-H25 Tagessummen" sheetId="4" r:id="rId6"/>
    <sheet name="Quelle_BDEW_H25" sheetId="3" r:id="rId7"/>
    <sheet name="Quelle_BDEW_Dynamisierung" sheetId="10" r:id="rId8"/>
    <sheet name="Quelle_SMARD_Preise_2025" sheetId="6" r:id="rId9"/>
    <sheet name="Feiertage_Hessen_2025" sheetId="5" r:id="rId10"/>
  </sheets>
  <definedNames>
    <definedName name="_xlnm.Print_Area" localSheetId="6">Quelle_BDEW_H25!#REF!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7" l="1" a="1"/>
  <c r="C7" i="7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2" i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6" i="4"/>
  <c r="C5" i="4"/>
  <c r="C4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2" i="1"/>
  <c r="F345" i="1" l="1"/>
  <c r="F329" i="1"/>
  <c r="F321" i="1"/>
  <c r="F305" i="1"/>
  <c r="F281" i="1"/>
  <c r="F265" i="1"/>
  <c r="F257" i="1"/>
  <c r="F241" i="1"/>
  <c r="F217" i="1"/>
  <c r="F201" i="1"/>
  <c r="F185" i="1"/>
  <c r="F169" i="1"/>
  <c r="F161" i="1"/>
  <c r="F145" i="1"/>
  <c r="F121" i="1"/>
  <c r="F105" i="1"/>
  <c r="F97" i="1"/>
  <c r="F81" i="1"/>
  <c r="F65" i="1"/>
  <c r="F49" i="1"/>
  <c r="F33" i="1"/>
  <c r="F17" i="1"/>
  <c r="F9" i="1"/>
  <c r="F360" i="1"/>
  <c r="F344" i="1"/>
  <c r="F328" i="1"/>
  <c r="F359" i="1"/>
  <c r="F343" i="1"/>
  <c r="F327" i="1"/>
  <c r="F311" i="1"/>
  <c r="F295" i="1"/>
  <c r="F279" i="1"/>
  <c r="F263" i="1"/>
  <c r="F247" i="1"/>
  <c r="F231" i="1"/>
  <c r="F215" i="1"/>
  <c r="F199" i="1"/>
  <c r="F183" i="1"/>
  <c r="F167" i="1"/>
  <c r="F151" i="1"/>
  <c r="F135" i="1"/>
  <c r="F119" i="1"/>
  <c r="F103" i="1"/>
  <c r="F95" i="1"/>
  <c r="F79" i="1"/>
  <c r="F55" i="1"/>
  <c r="F39" i="1"/>
  <c r="F23" i="1"/>
  <c r="F7" i="1"/>
  <c r="F361" i="1"/>
  <c r="F353" i="1"/>
  <c r="F337" i="1"/>
  <c r="F313" i="1"/>
  <c r="F297" i="1"/>
  <c r="F289" i="1"/>
  <c r="F273" i="1"/>
  <c r="F249" i="1"/>
  <c r="F233" i="1"/>
  <c r="F225" i="1"/>
  <c r="F209" i="1"/>
  <c r="F193" i="1"/>
  <c r="F177" i="1"/>
  <c r="F153" i="1"/>
  <c r="F137" i="1"/>
  <c r="F129" i="1"/>
  <c r="F113" i="1"/>
  <c r="F89" i="1"/>
  <c r="F73" i="1"/>
  <c r="F57" i="1"/>
  <c r="F41" i="1"/>
  <c r="F25" i="1"/>
  <c r="F352" i="1"/>
  <c r="F336" i="1"/>
  <c r="F2" i="1"/>
  <c r="F351" i="1"/>
  <c r="F335" i="1"/>
  <c r="F319" i="1"/>
  <c r="F303" i="1"/>
  <c r="F287" i="1"/>
  <c r="F271" i="1"/>
  <c r="F255" i="1"/>
  <c r="F239" i="1"/>
  <c r="F223" i="1"/>
  <c r="F207" i="1"/>
  <c r="F191" i="1"/>
  <c r="F175" i="1"/>
  <c r="F159" i="1"/>
  <c r="F143" i="1"/>
  <c r="F127" i="1"/>
  <c r="F111" i="1"/>
  <c r="F87" i="1"/>
  <c r="F71" i="1"/>
  <c r="F63" i="1"/>
  <c r="F47" i="1"/>
  <c r="F31" i="1"/>
  <c r="F15" i="1"/>
  <c r="F349" i="1"/>
  <c r="F325" i="1"/>
  <c r="F293" i="1"/>
  <c r="F269" i="1"/>
  <c r="F253" i="1"/>
  <c r="F229" i="1"/>
  <c r="F205" i="1"/>
  <c r="F173" i="1"/>
  <c r="F157" i="1"/>
  <c r="F125" i="1"/>
  <c r="F101" i="1"/>
  <c r="F69" i="1"/>
  <c r="F45" i="1"/>
  <c r="F13" i="1"/>
  <c r="F4" i="1"/>
  <c r="F6" i="1"/>
  <c r="F365" i="1"/>
  <c r="F341" i="1"/>
  <c r="F317" i="1"/>
  <c r="F301" i="1"/>
  <c r="F285" i="1"/>
  <c r="F261" i="1"/>
  <c r="F237" i="1"/>
  <c r="F213" i="1"/>
  <c r="F189" i="1"/>
  <c r="F165" i="1"/>
  <c r="F141" i="1"/>
  <c r="F117" i="1"/>
  <c r="F109" i="1"/>
  <c r="F85" i="1"/>
  <c r="F61" i="1"/>
  <c r="F37" i="1"/>
  <c r="F21" i="1"/>
  <c r="F5" i="1"/>
  <c r="F363" i="1"/>
  <c r="F355" i="1"/>
  <c r="F347" i="1"/>
  <c r="F339" i="1"/>
  <c r="F331" i="1"/>
  <c r="F323" i="1"/>
  <c r="F315" i="1"/>
  <c r="F307" i="1"/>
  <c r="F299" i="1"/>
  <c r="F291" i="1"/>
  <c r="F283" i="1"/>
  <c r="F275" i="1"/>
  <c r="F267" i="1"/>
  <c r="F259" i="1"/>
  <c r="F251" i="1"/>
  <c r="F243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9" i="1"/>
  <c r="F131" i="1"/>
  <c r="F123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3" i="1"/>
  <c r="F357" i="1"/>
  <c r="F333" i="1"/>
  <c r="F309" i="1"/>
  <c r="F277" i="1"/>
  <c r="F245" i="1"/>
  <c r="F221" i="1"/>
  <c r="F197" i="1"/>
  <c r="F181" i="1"/>
  <c r="F149" i="1"/>
  <c r="F133" i="1"/>
  <c r="F93" i="1"/>
  <c r="F77" i="1"/>
  <c r="F53" i="1"/>
  <c r="F29" i="1"/>
  <c r="F362" i="1"/>
  <c r="F354" i="1"/>
  <c r="F346" i="1"/>
  <c r="F338" i="1"/>
  <c r="F330" i="1"/>
  <c r="F322" i="1"/>
  <c r="F314" i="1"/>
  <c r="F306" i="1"/>
  <c r="F298" i="1"/>
  <c r="F290" i="1"/>
  <c r="F282" i="1"/>
  <c r="F274" i="1"/>
  <c r="F266" i="1"/>
  <c r="F258" i="1"/>
  <c r="F250" i="1"/>
  <c r="F242" i="1"/>
  <c r="F234" i="1"/>
  <c r="F226" i="1"/>
  <c r="F218" i="1"/>
  <c r="F210" i="1"/>
  <c r="F202" i="1"/>
  <c r="F194" i="1"/>
  <c r="F186" i="1"/>
  <c r="F178" i="1"/>
  <c r="F170" i="1"/>
  <c r="F162" i="1"/>
  <c r="F154" i="1"/>
  <c r="F146" i="1"/>
  <c r="F138" i="1"/>
  <c r="F130" i="1"/>
  <c r="F122" i="1"/>
  <c r="F114" i="1"/>
  <c r="F106" i="1"/>
  <c r="F98" i="1"/>
  <c r="F90" i="1"/>
  <c r="F82" i="1"/>
  <c r="F74" i="1"/>
  <c r="F66" i="1"/>
  <c r="F58" i="1"/>
  <c r="F50" i="1"/>
  <c r="F42" i="1"/>
  <c r="F34" i="1"/>
  <c r="F26" i="1"/>
  <c r="F18" i="1"/>
  <c r="F10" i="1"/>
  <c r="F366" i="1"/>
  <c r="F358" i="1"/>
  <c r="F350" i="1"/>
  <c r="F342" i="1"/>
  <c r="F334" i="1"/>
  <c r="F326" i="1"/>
  <c r="F318" i="1"/>
  <c r="F310" i="1"/>
  <c r="F302" i="1"/>
  <c r="F294" i="1"/>
  <c r="F286" i="1"/>
  <c r="F278" i="1"/>
  <c r="F270" i="1"/>
  <c r="F262" i="1"/>
  <c r="F254" i="1"/>
  <c r="F246" i="1"/>
  <c r="F238" i="1"/>
  <c r="F230" i="1"/>
  <c r="F222" i="1"/>
  <c r="F214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364" i="1"/>
  <c r="F356" i="1"/>
  <c r="F348" i="1"/>
  <c r="F340" i="1"/>
  <c r="F332" i="1"/>
  <c r="F324" i="1"/>
  <c r="F316" i="1"/>
  <c r="F308" i="1"/>
  <c r="F300" i="1"/>
  <c r="F292" i="1"/>
  <c r="F284" i="1"/>
  <c r="F276" i="1"/>
  <c r="F268" i="1"/>
  <c r="F260" i="1"/>
  <c r="F252" i="1"/>
  <c r="F244" i="1"/>
  <c r="F236" i="1"/>
  <c r="F228" i="1"/>
  <c r="F220" i="1"/>
  <c r="F212" i="1"/>
  <c r="F204" i="1"/>
  <c r="F196" i="1"/>
  <c r="F188" i="1"/>
  <c r="F180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320" i="1"/>
  <c r="F312" i="1"/>
  <c r="F304" i="1"/>
  <c r="F296" i="1"/>
  <c r="F288" i="1"/>
  <c r="F280" i="1"/>
  <c r="F272" i="1"/>
  <c r="F264" i="1"/>
  <c r="F256" i="1"/>
  <c r="F248" i="1"/>
  <c r="F240" i="1"/>
  <c r="F232" i="1"/>
  <c r="F224" i="1"/>
  <c r="F216" i="1"/>
  <c r="F208" i="1"/>
  <c r="F200" i="1"/>
  <c r="F192" i="1"/>
  <c r="F184" i="1"/>
  <c r="F176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M142" i="1" l="1"/>
  <c r="Q142" i="1" s="1"/>
  <c r="M240" i="1"/>
  <c r="Q240" i="1" s="1"/>
  <c r="K52" i="1"/>
  <c r="M270" i="1"/>
  <c r="Q270" i="1" s="1"/>
  <c r="S228" i="1"/>
  <c r="K292" i="1"/>
  <c r="S44" i="1"/>
  <c r="L108" i="1"/>
  <c r="P108" i="1" s="1"/>
  <c r="L356" i="1"/>
  <c r="P356" i="1" s="1"/>
  <c r="M126" i="1"/>
  <c r="Q126" i="1" s="1"/>
  <c r="K93" i="1"/>
  <c r="S172" i="1"/>
  <c r="S178" i="1"/>
  <c r="M208" i="1"/>
  <c r="Q208" i="1" s="1"/>
  <c r="S216" i="1"/>
  <c r="M112" i="1"/>
  <c r="Q112" i="1" s="1"/>
  <c r="M304" i="1"/>
  <c r="Q304" i="1" s="1"/>
  <c r="K70" i="1"/>
  <c r="M326" i="1"/>
  <c r="Q326" i="1" s="1"/>
  <c r="K180" i="1"/>
  <c r="M186" i="1"/>
  <c r="Q186" i="1" s="1"/>
  <c r="M265" i="1"/>
  <c r="Q265" i="1" s="1"/>
  <c r="K273" i="1"/>
  <c r="M49" i="1"/>
  <c r="Q49" i="1" s="1"/>
  <c r="L2" i="1"/>
  <c r="M280" i="1"/>
  <c r="Q280" i="1" s="1"/>
  <c r="M80" i="1"/>
  <c r="Q80" i="1" s="1"/>
  <c r="M6" i="1"/>
  <c r="Q6" i="1" s="1"/>
  <c r="M144" i="1"/>
  <c r="Q144" i="1" s="1"/>
  <c r="L337" i="1"/>
  <c r="P337" i="1" s="1"/>
  <c r="M137" i="1"/>
  <c r="Q137" i="1" s="1"/>
  <c r="K277" i="1"/>
  <c r="L213" i="1"/>
  <c r="P213" i="1" s="1"/>
  <c r="L275" i="1"/>
  <c r="P275" i="1" s="1"/>
  <c r="K211" i="1"/>
  <c r="K147" i="1"/>
  <c r="S19" i="1"/>
  <c r="K210" i="1"/>
  <c r="S146" i="1"/>
  <c r="S82" i="1"/>
  <c r="L284" i="1"/>
  <c r="P284" i="1" s="1"/>
  <c r="S220" i="1"/>
  <c r="S156" i="1"/>
  <c r="M28" i="1"/>
  <c r="Q28" i="1" s="1"/>
  <c r="K327" i="1"/>
  <c r="M336" i="1"/>
  <c r="Q336" i="1" s="1"/>
  <c r="L310" i="1"/>
  <c r="P310" i="1" s="1"/>
  <c r="M182" i="1"/>
  <c r="Q182" i="1" s="1"/>
  <c r="S118" i="1"/>
  <c r="K54" i="1"/>
  <c r="S269" i="1"/>
  <c r="M205" i="1"/>
  <c r="Q205" i="1" s="1"/>
  <c r="K348" i="1"/>
  <c r="S105" i="1"/>
  <c r="S11" i="1"/>
  <c r="L113" i="1"/>
  <c r="P113" i="1" s="1"/>
  <c r="S202" i="1"/>
  <c r="S10" i="1"/>
  <c r="M276" i="1"/>
  <c r="Q276" i="1" s="1"/>
  <c r="K212" i="1"/>
  <c r="L148" i="1"/>
  <c r="P148" i="1" s="1"/>
  <c r="K319" i="1"/>
  <c r="S209" i="1"/>
  <c r="M88" i="1"/>
  <c r="Q88" i="1" s="1"/>
  <c r="S249" i="1"/>
  <c r="M200" i="1"/>
  <c r="Q200" i="1" s="1"/>
  <c r="M238" i="1"/>
  <c r="Q238" i="1" s="1"/>
  <c r="S110" i="1"/>
  <c r="L46" i="1"/>
  <c r="P46" i="1" s="1"/>
  <c r="S329" i="1"/>
  <c r="S79" i="1"/>
  <c r="L143" i="1"/>
  <c r="P143" i="1" s="1"/>
  <c r="K215" i="1"/>
  <c r="M268" i="1"/>
  <c r="Q268" i="1" s="1"/>
  <c r="S114" i="1"/>
  <c r="L194" i="1"/>
  <c r="P194" i="1" s="1"/>
  <c r="L290" i="1"/>
  <c r="P290" i="1" s="1"/>
  <c r="K99" i="1"/>
  <c r="S355" i="1"/>
  <c r="K313" i="1"/>
  <c r="L197" i="1"/>
  <c r="P197" i="1" s="1"/>
  <c r="K230" i="1"/>
  <c r="L358" i="1"/>
  <c r="P358" i="1" s="1"/>
  <c r="S193" i="1"/>
  <c r="L272" i="1"/>
  <c r="P272" i="1" s="1"/>
  <c r="M256" i="1"/>
  <c r="Q256" i="1" s="1"/>
  <c r="M175" i="1"/>
  <c r="Q175" i="1" s="1"/>
  <c r="M60" i="1"/>
  <c r="Q60" i="1" s="1"/>
  <c r="M242" i="1"/>
  <c r="Q242" i="1" s="1"/>
  <c r="M51" i="1"/>
  <c r="Q51" i="1" s="1"/>
  <c r="L307" i="1"/>
  <c r="P307" i="1" s="1"/>
  <c r="K176" i="1"/>
  <c r="L55" i="1"/>
  <c r="P55" i="1" s="1"/>
  <c r="M119" i="1"/>
  <c r="Q119" i="1" s="1"/>
  <c r="L351" i="1"/>
  <c r="P351" i="1" s="1"/>
  <c r="S170" i="1"/>
  <c r="S257" i="1"/>
  <c r="L235" i="1"/>
  <c r="P235" i="1" s="1"/>
  <c r="S173" i="1"/>
  <c r="L184" i="1"/>
  <c r="P184" i="1" s="1"/>
  <c r="K206" i="1"/>
  <c r="M192" i="1"/>
  <c r="Q192" i="1" s="1"/>
  <c r="K67" i="1"/>
  <c r="S181" i="1"/>
  <c r="S233" i="1"/>
  <c r="S342" i="1"/>
  <c r="K71" i="1"/>
  <c r="M106" i="1"/>
  <c r="Q106" i="1" s="1"/>
  <c r="S345" i="1"/>
  <c r="L347" i="1"/>
  <c r="P347" i="1" s="1"/>
  <c r="M365" i="1"/>
  <c r="Q365" i="1" s="1"/>
  <c r="S222" i="1"/>
  <c r="K117" i="1"/>
  <c r="K151" i="1"/>
  <c r="S223" i="1"/>
  <c r="K303" i="1"/>
  <c r="S36" i="1"/>
  <c r="K196" i="1"/>
  <c r="M298" i="1"/>
  <c r="Q298" i="1" s="1"/>
  <c r="M41" i="1"/>
  <c r="Q41" i="1" s="1"/>
  <c r="K27" i="1"/>
  <c r="M187" i="1"/>
  <c r="Q187" i="1" s="1"/>
  <c r="L221" i="1"/>
  <c r="P221" i="1" s="1"/>
  <c r="M301" i="1"/>
  <c r="Q301" i="1" s="1"/>
  <c r="M328" i="1"/>
  <c r="Q328" i="1" s="1"/>
  <c r="S8" i="1"/>
  <c r="M81" i="1"/>
  <c r="Q81" i="1" s="1"/>
  <c r="M111" i="1"/>
  <c r="Q111" i="1" s="1"/>
  <c r="M343" i="1"/>
  <c r="Q343" i="1" s="1"/>
  <c r="M236" i="1"/>
  <c r="Q236" i="1" s="1"/>
  <c r="M162" i="1"/>
  <c r="Q162" i="1" s="1"/>
  <c r="K165" i="1"/>
  <c r="L57" i="1"/>
  <c r="P57" i="1" s="1"/>
  <c r="L166" i="1"/>
  <c r="P166" i="1" s="1"/>
  <c r="M64" i="1"/>
  <c r="Q64" i="1" s="1"/>
  <c r="M85" i="1"/>
  <c r="Q85" i="1" s="1"/>
  <c r="M271" i="1"/>
  <c r="Q271" i="1" s="1"/>
  <c r="S346" i="1"/>
  <c r="S185" i="1"/>
  <c r="M349" i="1"/>
  <c r="Q349" i="1" s="1"/>
  <c r="L78" i="1"/>
  <c r="P78" i="1" s="1"/>
  <c r="K296" i="1"/>
  <c r="M168" i="1"/>
  <c r="Q168" i="1" s="1"/>
  <c r="L29" i="1"/>
  <c r="P29" i="1" s="1"/>
  <c r="L76" i="1"/>
  <c r="P76" i="1" s="1"/>
  <c r="K98" i="1"/>
  <c r="S305" i="1"/>
  <c r="S323" i="1"/>
  <c r="S214" i="1"/>
  <c r="M134" i="1"/>
  <c r="Q134" i="1" s="1"/>
  <c r="K287" i="1"/>
  <c r="M260" i="1"/>
  <c r="Q260" i="1" s="1"/>
  <c r="S362" i="1"/>
  <c r="M251" i="1"/>
  <c r="Q251" i="1" s="1"/>
  <c r="L285" i="1"/>
  <c r="P285" i="1" s="1"/>
  <c r="K344" i="1"/>
  <c r="L61" i="1"/>
  <c r="P61" i="1" s="1"/>
  <c r="S125" i="1"/>
  <c r="K31" i="1"/>
  <c r="M159" i="1"/>
  <c r="Q159" i="1" s="1"/>
  <c r="M231" i="1"/>
  <c r="Q231" i="1" s="1"/>
  <c r="M204" i="1"/>
  <c r="Q204" i="1" s="1"/>
  <c r="S130" i="1"/>
  <c r="L226" i="1"/>
  <c r="P226" i="1" s="1"/>
  <c r="M35" i="1"/>
  <c r="Q35" i="1" s="1"/>
  <c r="M195" i="1"/>
  <c r="Q195" i="1" s="1"/>
  <c r="L291" i="1"/>
  <c r="P291" i="1" s="1"/>
  <c r="M17" i="1"/>
  <c r="Q17" i="1" s="1"/>
  <c r="L340" i="1"/>
  <c r="P340" i="1" s="1"/>
  <c r="M309" i="1"/>
  <c r="Q309" i="1" s="1"/>
  <c r="S72" i="1"/>
  <c r="S22" i="1"/>
  <c r="S150" i="1"/>
  <c r="S278" i="1"/>
  <c r="S128" i="1"/>
  <c r="M24" i="1"/>
  <c r="Q24" i="1" s="1"/>
  <c r="L247" i="1"/>
  <c r="P247" i="1" s="1"/>
  <c r="K140" i="1"/>
  <c r="S66" i="1"/>
  <c r="S177" i="1"/>
  <c r="S149" i="1"/>
  <c r="L183" i="1"/>
  <c r="P183" i="1" s="1"/>
  <c r="S68" i="1"/>
  <c r="K324" i="1"/>
  <c r="M253" i="1"/>
  <c r="Q253" i="1" s="1"/>
  <c r="S201" i="1"/>
  <c r="S334" i="1"/>
  <c r="L318" i="1"/>
  <c r="P318" i="1" s="1"/>
  <c r="L63" i="1"/>
  <c r="P63" i="1" s="1"/>
  <c r="K332" i="1"/>
  <c r="K354" i="1"/>
  <c r="K243" i="1"/>
  <c r="K261" i="1"/>
  <c r="L86" i="1"/>
  <c r="P86" i="1" s="1"/>
  <c r="L7" i="1"/>
  <c r="P7" i="1" s="1"/>
  <c r="K207" i="1"/>
  <c r="M282" i="1"/>
  <c r="Q282" i="1" s="1"/>
  <c r="L171" i="1"/>
  <c r="P171" i="1" s="1"/>
  <c r="L69" i="1"/>
  <c r="P69" i="1" s="1"/>
  <c r="K133" i="1"/>
  <c r="L39" i="1"/>
  <c r="P39" i="1" s="1"/>
  <c r="M103" i="1"/>
  <c r="Q103" i="1" s="1"/>
  <c r="M167" i="1"/>
  <c r="Q167" i="1" s="1"/>
  <c r="L132" i="1"/>
  <c r="P132" i="1" s="1"/>
  <c r="K154" i="1"/>
  <c r="S234" i="1"/>
  <c r="L314" i="1"/>
  <c r="P314" i="1" s="1"/>
  <c r="S43" i="1"/>
  <c r="M299" i="1"/>
  <c r="Q299" i="1" s="1"/>
  <c r="M33" i="1"/>
  <c r="Q33" i="1" s="1"/>
  <c r="S237" i="1"/>
  <c r="L317" i="1"/>
  <c r="P317" i="1" s="1"/>
  <c r="K286" i="1"/>
  <c r="M152" i="1"/>
  <c r="Q152" i="1" s="1"/>
  <c r="S129" i="1"/>
  <c r="S241" i="1"/>
  <c r="M8" i="1"/>
  <c r="Q8" i="1" s="1"/>
  <c r="L8" i="1"/>
  <c r="P8" i="1" s="1"/>
  <c r="K8" i="1"/>
  <c r="S180" i="1"/>
  <c r="L180" i="1"/>
  <c r="P180" i="1" s="1"/>
  <c r="M180" i="1"/>
  <c r="Q180" i="1" s="1"/>
  <c r="K170" i="1"/>
  <c r="L170" i="1"/>
  <c r="P170" i="1" s="1"/>
  <c r="M170" i="1"/>
  <c r="Q170" i="1" s="1"/>
  <c r="M171" i="1"/>
  <c r="Q171" i="1" s="1"/>
  <c r="K233" i="1"/>
  <c r="S142" i="1"/>
  <c r="L142" i="1"/>
  <c r="P142" i="1" s="1"/>
  <c r="K142" i="1"/>
  <c r="M61" i="1"/>
  <c r="Q61" i="1" s="1"/>
  <c r="S206" i="1"/>
  <c r="L206" i="1"/>
  <c r="P206" i="1" s="1"/>
  <c r="M206" i="1"/>
  <c r="Q206" i="1" s="1"/>
  <c r="S104" i="1"/>
  <c r="L104" i="1"/>
  <c r="P104" i="1" s="1"/>
  <c r="K104" i="1"/>
  <c r="M104" i="1"/>
  <c r="Q104" i="1" s="1"/>
  <c r="L31" i="1"/>
  <c r="P31" i="1" s="1"/>
  <c r="K351" i="1"/>
  <c r="L298" i="1"/>
  <c r="P298" i="1" s="1"/>
  <c r="S265" i="1"/>
  <c r="L265" i="1"/>
  <c r="P265" i="1" s="1"/>
  <c r="K265" i="1"/>
  <c r="S192" i="1"/>
  <c r="K192" i="1"/>
  <c r="M125" i="1"/>
  <c r="Q125" i="1" s="1"/>
  <c r="M287" i="1"/>
  <c r="Q287" i="1" s="1"/>
  <c r="L287" i="1"/>
  <c r="P287" i="1" s="1"/>
  <c r="S308" i="1"/>
  <c r="M308" i="1"/>
  <c r="Q308" i="1" s="1"/>
  <c r="L308" i="1"/>
  <c r="P308" i="1" s="1"/>
  <c r="K308" i="1"/>
  <c r="L299" i="1"/>
  <c r="P299" i="1" s="1"/>
  <c r="K299" i="1"/>
  <c r="S78" i="1"/>
  <c r="M78" i="1"/>
  <c r="Q78" i="1" s="1"/>
  <c r="M223" i="1"/>
  <c r="Q223" i="1" s="1"/>
  <c r="S184" i="1"/>
  <c r="K184" i="1"/>
  <c r="S270" i="1"/>
  <c r="L270" i="1"/>
  <c r="P270" i="1" s="1"/>
  <c r="S116" i="1"/>
  <c r="L116" i="1"/>
  <c r="P116" i="1" s="1"/>
  <c r="M116" i="1"/>
  <c r="Q116" i="1" s="1"/>
  <c r="K116" i="1"/>
  <c r="S301" i="1"/>
  <c r="K301" i="1"/>
  <c r="L114" i="1"/>
  <c r="P114" i="1" s="1"/>
  <c r="S242" i="1"/>
  <c r="L305" i="1"/>
  <c r="P305" i="1" s="1"/>
  <c r="L181" i="1"/>
  <c r="P181" i="1" s="1"/>
  <c r="K181" i="1"/>
  <c r="M181" i="1"/>
  <c r="Q181" i="1" s="1"/>
  <c r="K208" i="1"/>
  <c r="M86" i="1"/>
  <c r="Q86" i="1" s="1"/>
  <c r="K86" i="1"/>
  <c r="K214" i="1"/>
  <c r="M305" i="1"/>
  <c r="Q305" i="1" s="1"/>
  <c r="S141" i="1"/>
  <c r="M141" i="1"/>
  <c r="Q141" i="1" s="1"/>
  <c r="L141" i="1"/>
  <c r="P141" i="1" s="1"/>
  <c r="K141" i="1"/>
  <c r="L111" i="1"/>
  <c r="P111" i="1" s="1"/>
  <c r="S111" i="1"/>
  <c r="K111" i="1"/>
  <c r="S4" i="1"/>
  <c r="L196" i="1"/>
  <c r="P196" i="1" s="1"/>
  <c r="S196" i="1"/>
  <c r="M196" i="1"/>
  <c r="Q196" i="1" s="1"/>
  <c r="S260" i="1"/>
  <c r="K260" i="1"/>
  <c r="M324" i="1"/>
  <c r="Q324" i="1" s="1"/>
  <c r="M58" i="1"/>
  <c r="Q58" i="1" s="1"/>
  <c r="L58" i="1"/>
  <c r="P58" i="1" s="1"/>
  <c r="L250" i="1"/>
  <c r="P250" i="1" s="1"/>
  <c r="M314" i="1"/>
  <c r="Q314" i="1" s="1"/>
  <c r="L41" i="1"/>
  <c r="P41" i="1" s="1"/>
  <c r="L345" i="1"/>
  <c r="P345" i="1" s="1"/>
  <c r="L187" i="1"/>
  <c r="P187" i="1" s="1"/>
  <c r="K187" i="1"/>
  <c r="S187" i="1"/>
  <c r="L33" i="1"/>
  <c r="P33" i="1" s="1"/>
  <c r="L253" i="1"/>
  <c r="P253" i="1" s="1"/>
  <c r="K253" i="1"/>
  <c r="M94" i="1"/>
  <c r="Q94" i="1" s="1"/>
  <c r="S286" i="1"/>
  <c r="L152" i="1"/>
  <c r="P152" i="1" s="1"/>
  <c r="S69" i="1"/>
  <c r="M69" i="1"/>
  <c r="Q69" i="1" s="1"/>
  <c r="K69" i="1"/>
  <c r="L306" i="1"/>
  <c r="P306" i="1" s="1"/>
  <c r="S51" i="1"/>
  <c r="K51" i="1"/>
  <c r="S307" i="1"/>
  <c r="K307" i="1"/>
  <c r="S16" i="1"/>
  <c r="M16" i="1"/>
  <c r="Q16" i="1" s="1"/>
  <c r="L16" i="1"/>
  <c r="P16" i="1" s="1"/>
  <c r="K16" i="1"/>
  <c r="M22" i="1"/>
  <c r="Q22" i="1" s="1"/>
  <c r="L22" i="1"/>
  <c r="P22" i="1" s="1"/>
  <c r="L150" i="1"/>
  <c r="P150" i="1" s="1"/>
  <c r="M150" i="1"/>
  <c r="Q150" i="1" s="1"/>
  <c r="K150" i="1"/>
  <c r="K278" i="1"/>
  <c r="S24" i="1"/>
  <c r="M313" i="1"/>
  <c r="Q313" i="1" s="1"/>
  <c r="M114" i="1"/>
  <c r="Q114" i="1" s="1"/>
  <c r="L149" i="1"/>
  <c r="P149" i="1" s="1"/>
  <c r="S55" i="1"/>
  <c r="K55" i="1"/>
  <c r="M55" i="1"/>
  <c r="Q55" i="1" s="1"/>
  <c r="K119" i="1"/>
  <c r="K247" i="1"/>
  <c r="S247" i="1"/>
  <c r="M247" i="1"/>
  <c r="Q247" i="1" s="1"/>
  <c r="M12" i="1"/>
  <c r="Q12" i="1" s="1"/>
  <c r="S12" i="1"/>
  <c r="L12" i="1"/>
  <c r="P12" i="1" s="1"/>
  <c r="K12" i="1"/>
  <c r="S76" i="1"/>
  <c r="M76" i="1"/>
  <c r="Q76" i="1" s="1"/>
  <c r="M140" i="1"/>
  <c r="Q140" i="1" s="1"/>
  <c r="S204" i="1"/>
  <c r="L204" i="1"/>
  <c r="P204" i="1" s="1"/>
  <c r="K204" i="1"/>
  <c r="M332" i="1"/>
  <c r="Q332" i="1" s="1"/>
  <c r="S332" i="1"/>
  <c r="L332" i="1"/>
  <c r="P332" i="1" s="1"/>
  <c r="L130" i="1"/>
  <c r="P130" i="1" s="1"/>
  <c r="S194" i="1"/>
  <c r="S73" i="1"/>
  <c r="L3" i="1"/>
  <c r="P3" i="1" s="1"/>
  <c r="M3" i="1"/>
  <c r="Q3" i="1" s="1"/>
  <c r="S3" i="1"/>
  <c r="K3" i="1"/>
  <c r="S67" i="1"/>
  <c r="M67" i="1"/>
  <c r="Q67" i="1" s="1"/>
  <c r="L195" i="1"/>
  <c r="P195" i="1" s="1"/>
  <c r="K195" i="1"/>
  <c r="S65" i="1"/>
  <c r="S340" i="1"/>
  <c r="S197" i="1"/>
  <c r="L325" i="1"/>
  <c r="P325" i="1" s="1"/>
  <c r="S325" i="1"/>
  <c r="M325" i="1"/>
  <c r="Q325" i="1" s="1"/>
  <c r="K325" i="1"/>
  <c r="S240" i="1"/>
  <c r="K240" i="1"/>
  <c r="S89" i="1"/>
  <c r="L89" i="1"/>
  <c r="P89" i="1" s="1"/>
  <c r="S166" i="1"/>
  <c r="K166" i="1"/>
  <c r="M358" i="1"/>
  <c r="Q358" i="1" s="1"/>
  <c r="K358" i="1"/>
  <c r="S358" i="1"/>
  <c r="L193" i="1"/>
  <c r="P193" i="1" s="1"/>
  <c r="L64" i="1"/>
  <c r="P64" i="1" s="1"/>
  <c r="K272" i="1"/>
  <c r="L177" i="1"/>
  <c r="P177" i="1" s="1"/>
  <c r="L133" i="1"/>
  <c r="P133" i="1" s="1"/>
  <c r="L359" i="1"/>
  <c r="P359" i="1" s="1"/>
  <c r="S50" i="1"/>
  <c r="L50" i="1"/>
  <c r="P50" i="1" s="1"/>
  <c r="K305" i="1"/>
  <c r="M157" i="1"/>
  <c r="Q157" i="1" s="1"/>
  <c r="S157" i="1"/>
  <c r="L157" i="1"/>
  <c r="P157" i="1" s="1"/>
  <c r="K157" i="1"/>
  <c r="S191" i="1"/>
  <c r="M191" i="1"/>
  <c r="Q191" i="1" s="1"/>
  <c r="L191" i="1"/>
  <c r="P191" i="1" s="1"/>
  <c r="K191" i="1"/>
  <c r="L84" i="1"/>
  <c r="P84" i="1" s="1"/>
  <c r="M84" i="1"/>
  <c r="Q84" i="1" s="1"/>
  <c r="K84" i="1"/>
  <c r="S84" i="1"/>
  <c r="S212" i="1"/>
  <c r="S276" i="1"/>
  <c r="L276" i="1"/>
  <c r="P276" i="1" s="1"/>
  <c r="L10" i="1"/>
  <c r="P10" i="1" s="1"/>
  <c r="S266" i="1"/>
  <c r="L266" i="1"/>
  <c r="P266" i="1" s="1"/>
  <c r="S113" i="1"/>
  <c r="L11" i="1"/>
  <c r="P11" i="1" s="1"/>
  <c r="L75" i="1"/>
  <c r="P75" i="1" s="1"/>
  <c r="M75" i="1"/>
  <c r="Q75" i="1" s="1"/>
  <c r="S75" i="1"/>
  <c r="K75" i="1"/>
  <c r="S331" i="1"/>
  <c r="L331" i="1"/>
  <c r="P331" i="1" s="1"/>
  <c r="K331" i="1"/>
  <c r="M331" i="1"/>
  <c r="Q331" i="1" s="1"/>
  <c r="L348" i="1"/>
  <c r="P348" i="1" s="1"/>
  <c r="S205" i="1"/>
  <c r="L205" i="1"/>
  <c r="P205" i="1" s="1"/>
  <c r="M269" i="1"/>
  <c r="Q269" i="1" s="1"/>
  <c r="L269" i="1"/>
  <c r="P269" i="1" s="1"/>
  <c r="K269" i="1"/>
  <c r="S121" i="1"/>
  <c r="L121" i="1"/>
  <c r="P121" i="1" s="1"/>
  <c r="M46" i="1"/>
  <c r="Q46" i="1" s="1"/>
  <c r="M110" i="1"/>
  <c r="Q110" i="1" s="1"/>
  <c r="K110" i="1"/>
  <c r="S174" i="1"/>
  <c r="M174" i="1"/>
  <c r="Q174" i="1" s="1"/>
  <c r="L174" i="1"/>
  <c r="P174" i="1" s="1"/>
  <c r="K174" i="1"/>
  <c r="S200" i="1"/>
  <c r="L200" i="1"/>
  <c r="P200" i="1" s="1"/>
  <c r="K200" i="1"/>
  <c r="S88" i="1"/>
  <c r="K88" i="1"/>
  <c r="S182" i="1"/>
  <c r="L182" i="1"/>
  <c r="P182" i="1" s="1"/>
  <c r="K182" i="1"/>
  <c r="S246" i="1"/>
  <c r="L246" i="1"/>
  <c r="P246" i="1" s="1"/>
  <c r="M246" i="1"/>
  <c r="Q246" i="1" s="1"/>
  <c r="K246" i="1"/>
  <c r="S336" i="1"/>
  <c r="K336" i="1"/>
  <c r="L336" i="1"/>
  <c r="P336" i="1" s="1"/>
  <c r="K7" i="1"/>
  <c r="M7" i="1"/>
  <c r="Q7" i="1" s="1"/>
  <c r="M135" i="1"/>
  <c r="Q135" i="1" s="1"/>
  <c r="L135" i="1"/>
  <c r="P135" i="1" s="1"/>
  <c r="S135" i="1"/>
  <c r="K135" i="1"/>
  <c r="L28" i="1"/>
  <c r="P28" i="1" s="1"/>
  <c r="S210" i="1"/>
  <c r="L210" i="1"/>
  <c r="P210" i="1" s="1"/>
  <c r="M275" i="1"/>
  <c r="Q275" i="1" s="1"/>
  <c r="S275" i="1"/>
  <c r="S341" i="1"/>
  <c r="M341" i="1"/>
  <c r="Q341" i="1" s="1"/>
  <c r="K341" i="1"/>
  <c r="L341" i="1"/>
  <c r="P341" i="1" s="1"/>
  <c r="L45" i="1"/>
  <c r="P45" i="1" s="1"/>
  <c r="S109" i="1"/>
  <c r="K79" i="1"/>
  <c r="L79" i="1"/>
  <c r="P79" i="1" s="1"/>
  <c r="M79" i="1"/>
  <c r="Q79" i="1" s="1"/>
  <c r="M143" i="1"/>
  <c r="Q143" i="1" s="1"/>
  <c r="S143" i="1"/>
  <c r="L207" i="1"/>
  <c r="P207" i="1" s="1"/>
  <c r="M207" i="1"/>
  <c r="Q207" i="1" s="1"/>
  <c r="S100" i="1"/>
  <c r="L100" i="1"/>
  <c r="P100" i="1" s="1"/>
  <c r="K100" i="1"/>
  <c r="M100" i="1"/>
  <c r="Q100" i="1" s="1"/>
  <c r="L164" i="1"/>
  <c r="P164" i="1" s="1"/>
  <c r="S164" i="1"/>
  <c r="K164" i="1"/>
  <c r="M164" i="1"/>
  <c r="Q164" i="1" s="1"/>
  <c r="L228" i="1"/>
  <c r="P228" i="1" s="1"/>
  <c r="M228" i="1"/>
  <c r="Q228" i="1" s="1"/>
  <c r="M154" i="1"/>
  <c r="Q154" i="1" s="1"/>
  <c r="S154" i="1"/>
  <c r="L169" i="1"/>
  <c r="P169" i="1" s="1"/>
  <c r="S27" i="1"/>
  <c r="L91" i="1"/>
  <c r="P91" i="1" s="1"/>
  <c r="S347" i="1"/>
  <c r="K347" i="1"/>
  <c r="L185" i="1"/>
  <c r="P185" i="1" s="1"/>
  <c r="S364" i="1"/>
  <c r="M364" i="1"/>
  <c r="Q364" i="1" s="1"/>
  <c r="K364" i="1"/>
  <c r="L364" i="1"/>
  <c r="P364" i="1" s="1"/>
  <c r="M221" i="1"/>
  <c r="Q221" i="1" s="1"/>
  <c r="S221" i="1"/>
  <c r="K221" i="1"/>
  <c r="M285" i="1"/>
  <c r="Q285" i="1" s="1"/>
  <c r="S349" i="1"/>
  <c r="K349" i="1"/>
  <c r="S304" i="1"/>
  <c r="K304" i="1"/>
  <c r="L304" i="1"/>
  <c r="P304" i="1" s="1"/>
  <c r="L62" i="1"/>
  <c r="P62" i="1" s="1"/>
  <c r="K62" i="1"/>
  <c r="S126" i="1"/>
  <c r="S144" i="1"/>
  <c r="L144" i="1"/>
  <c r="P144" i="1" s="1"/>
  <c r="K144" i="1"/>
  <c r="S281" i="1"/>
  <c r="L281" i="1"/>
  <c r="P281" i="1" s="1"/>
  <c r="S199" i="1"/>
  <c r="M199" i="1"/>
  <c r="Q199" i="1" s="1"/>
  <c r="K199" i="1"/>
  <c r="L199" i="1"/>
  <c r="P199" i="1" s="1"/>
  <c r="S327" i="1"/>
  <c r="M327" i="1"/>
  <c r="Q327" i="1" s="1"/>
  <c r="S92" i="1"/>
  <c r="M92" i="1"/>
  <c r="Q92" i="1" s="1"/>
  <c r="L92" i="1"/>
  <c r="P92" i="1" s="1"/>
  <c r="K92" i="1"/>
  <c r="S18" i="1"/>
  <c r="L18" i="1"/>
  <c r="P18" i="1" s="1"/>
  <c r="L146" i="1"/>
  <c r="P146" i="1" s="1"/>
  <c r="S274" i="1"/>
  <c r="K274" i="1"/>
  <c r="L274" i="1"/>
  <c r="P274" i="1" s="1"/>
  <c r="S83" i="1"/>
  <c r="M83" i="1"/>
  <c r="Q83" i="1" s="1"/>
  <c r="L83" i="1"/>
  <c r="P83" i="1" s="1"/>
  <c r="K83" i="1"/>
  <c r="S211" i="1"/>
  <c r="L339" i="1"/>
  <c r="P339" i="1" s="1"/>
  <c r="M339" i="1"/>
  <c r="Q339" i="1" s="1"/>
  <c r="K339" i="1"/>
  <c r="S339" i="1"/>
  <c r="S356" i="1"/>
  <c r="M356" i="1"/>
  <c r="Q356" i="1" s="1"/>
  <c r="K356" i="1"/>
  <c r="L277" i="1"/>
  <c r="P277" i="1" s="1"/>
  <c r="M274" i="1"/>
  <c r="Q274" i="1" s="1"/>
  <c r="K137" i="1"/>
  <c r="K114" i="1"/>
  <c r="S53" i="1"/>
  <c r="L53" i="1"/>
  <c r="P53" i="1" s="1"/>
  <c r="M53" i="1"/>
  <c r="Q53" i="1" s="1"/>
  <c r="K53" i="1"/>
  <c r="M151" i="1"/>
  <c r="Q151" i="1" s="1"/>
  <c r="S151" i="1"/>
  <c r="L151" i="1"/>
  <c r="P151" i="1" s="1"/>
  <c r="M215" i="1"/>
  <c r="Q215" i="1" s="1"/>
  <c r="L343" i="1"/>
  <c r="P343" i="1" s="1"/>
  <c r="S343" i="1"/>
  <c r="K343" i="1"/>
  <c r="L236" i="1"/>
  <c r="P236" i="1" s="1"/>
  <c r="L98" i="1"/>
  <c r="P98" i="1" s="1"/>
  <c r="M226" i="1"/>
  <c r="Q226" i="1" s="1"/>
  <c r="M290" i="1"/>
  <c r="Q290" i="1" s="1"/>
  <c r="S354" i="1"/>
  <c r="S217" i="1"/>
  <c r="L217" i="1"/>
  <c r="P217" i="1" s="1"/>
  <c r="S291" i="1"/>
  <c r="M291" i="1"/>
  <c r="Q291" i="1" s="1"/>
  <c r="M355" i="1"/>
  <c r="Q355" i="1" s="1"/>
  <c r="L355" i="1"/>
  <c r="P355" i="1" s="1"/>
  <c r="K355" i="1"/>
  <c r="S225" i="1"/>
  <c r="L225" i="1"/>
  <c r="P225" i="1" s="1"/>
  <c r="S229" i="1"/>
  <c r="M229" i="1"/>
  <c r="Q229" i="1" s="1"/>
  <c r="S357" i="1"/>
  <c r="M357" i="1"/>
  <c r="Q357" i="1" s="1"/>
  <c r="L357" i="1"/>
  <c r="P357" i="1" s="1"/>
  <c r="K357" i="1"/>
  <c r="L328" i="1"/>
  <c r="P328" i="1" s="1"/>
  <c r="L201" i="1"/>
  <c r="P201" i="1" s="1"/>
  <c r="K6" i="1"/>
  <c r="S262" i="1"/>
  <c r="L262" i="1"/>
  <c r="P262" i="1" s="1"/>
  <c r="M262" i="1"/>
  <c r="Q262" i="1" s="1"/>
  <c r="K262" i="1"/>
  <c r="S80" i="1"/>
  <c r="K80" i="1"/>
  <c r="L80" i="1"/>
  <c r="P80" i="1" s="1"/>
  <c r="K2" i="1"/>
  <c r="S168" i="1"/>
  <c r="L168" i="1"/>
  <c r="P168" i="1" s="1"/>
  <c r="K168" i="1"/>
  <c r="S49" i="1"/>
  <c r="S321" i="1"/>
  <c r="L321" i="1"/>
  <c r="P321" i="1" s="1"/>
  <c r="M232" i="1" l="1"/>
  <c r="Q232" i="1" s="1"/>
  <c r="L232" i="1"/>
  <c r="P232" i="1" s="1"/>
  <c r="M322" i="1"/>
  <c r="Q322" i="1" s="1"/>
  <c r="K322" i="1"/>
  <c r="K95" i="1"/>
  <c r="L95" i="1"/>
  <c r="P95" i="1" s="1"/>
  <c r="M14" i="1"/>
  <c r="Q14" i="1" s="1"/>
  <c r="L14" i="1"/>
  <c r="P14" i="1" s="1"/>
  <c r="K107" i="1"/>
  <c r="M107" i="1"/>
  <c r="Q107" i="1" s="1"/>
  <c r="K190" i="1"/>
  <c r="M190" i="1"/>
  <c r="Q190" i="1" s="1"/>
  <c r="L190" i="1"/>
  <c r="P190" i="1" s="1"/>
  <c r="L263" i="1"/>
  <c r="P263" i="1" s="1"/>
  <c r="K263" i="1"/>
  <c r="S288" i="1"/>
  <c r="L288" i="1"/>
  <c r="P288" i="1" s="1"/>
  <c r="M40" i="1"/>
  <c r="Q40" i="1" s="1"/>
  <c r="S40" i="1"/>
  <c r="M244" i="1"/>
  <c r="Q244" i="1" s="1"/>
  <c r="L244" i="1"/>
  <c r="P244" i="1" s="1"/>
  <c r="M245" i="1"/>
  <c r="Q245" i="1" s="1"/>
  <c r="K245" i="1"/>
  <c r="S293" i="1"/>
  <c r="V293" i="1" s="1"/>
  <c r="K293" i="1"/>
  <c r="L295" i="1"/>
  <c r="P295" i="1" s="1"/>
  <c r="K295" i="1"/>
  <c r="K91" i="1"/>
  <c r="M91" i="1"/>
  <c r="Q91" i="1" s="1"/>
  <c r="L36" i="1"/>
  <c r="P36" i="1" s="1"/>
  <c r="S147" i="1"/>
  <c r="M2" i="1"/>
  <c r="Q2" i="1" s="1"/>
  <c r="L212" i="1"/>
  <c r="P212" i="1" s="1"/>
  <c r="M183" i="1"/>
  <c r="Q183" i="1" s="1"/>
  <c r="K216" i="1"/>
  <c r="M234" i="1"/>
  <c r="Q234" i="1" s="1"/>
  <c r="S365" i="1"/>
  <c r="L233" i="1"/>
  <c r="P233" i="1" s="1"/>
  <c r="K49" i="1"/>
  <c r="S98" i="1"/>
  <c r="M27" i="1"/>
  <c r="Q27" i="1" s="1"/>
  <c r="L118" i="1"/>
  <c r="P118" i="1" s="1"/>
  <c r="L110" i="1"/>
  <c r="P110" i="1" s="1"/>
  <c r="K11" i="1"/>
  <c r="L119" i="1"/>
  <c r="P119" i="1" s="1"/>
  <c r="M149" i="1"/>
  <c r="Q149" i="1" s="1"/>
  <c r="L51" i="1"/>
  <c r="P51" i="1" s="1"/>
  <c r="L301" i="1"/>
  <c r="P301" i="1" s="1"/>
  <c r="K125" i="1"/>
  <c r="L49" i="1"/>
  <c r="P49" i="1" s="1"/>
  <c r="S6" i="1"/>
  <c r="L354" i="1"/>
  <c r="P354" i="1" s="1"/>
  <c r="M98" i="1"/>
  <c r="Q98" i="1" s="1"/>
  <c r="L215" i="1"/>
  <c r="P215" i="1" s="1"/>
  <c r="S337" i="1"/>
  <c r="L27" i="1"/>
  <c r="P27" i="1" s="1"/>
  <c r="K228" i="1"/>
  <c r="S207" i="1"/>
  <c r="K275" i="1"/>
  <c r="K28" i="1"/>
  <c r="S7" i="1"/>
  <c r="K118" i="1"/>
  <c r="M11" i="1"/>
  <c r="Q11" i="1" s="1"/>
  <c r="K167" i="1"/>
  <c r="S64" i="1"/>
  <c r="M166" i="1"/>
  <c r="Q166" i="1" s="1"/>
  <c r="S195" i="1"/>
  <c r="L140" i="1"/>
  <c r="P140" i="1" s="1"/>
  <c r="S119" i="1"/>
  <c r="K149" i="1"/>
  <c r="K22" i="1"/>
  <c r="K152" i="1"/>
  <c r="S253" i="1"/>
  <c r="L208" i="1"/>
  <c r="P208" i="1" s="1"/>
  <c r="L243" i="1"/>
  <c r="P243" i="1" s="1"/>
  <c r="K270" i="1"/>
  <c r="K223" i="1"/>
  <c r="L125" i="1"/>
  <c r="P125" i="1" s="1"/>
  <c r="S61" i="1"/>
  <c r="T163" i="1"/>
  <c r="U163" i="1" s="1"/>
  <c r="K276" i="1"/>
  <c r="K197" i="1"/>
  <c r="S140" i="1"/>
  <c r="L313" i="1"/>
  <c r="P313" i="1" s="1"/>
  <c r="S152" i="1"/>
  <c r="L260" i="1"/>
  <c r="P260" i="1" s="1"/>
  <c r="T4" i="1"/>
  <c r="U4" i="1" s="1"/>
  <c r="V4" i="1" s="1"/>
  <c r="K291" i="1"/>
  <c r="M354" i="1"/>
  <c r="Q354" i="1" s="1"/>
  <c r="S236" i="1"/>
  <c r="S215" i="1"/>
  <c r="M211" i="1"/>
  <c r="Q211" i="1" s="1"/>
  <c r="L349" i="1"/>
  <c r="P349" i="1" s="1"/>
  <c r="M347" i="1"/>
  <c r="Q347" i="1" s="1"/>
  <c r="K143" i="1"/>
  <c r="S28" i="1"/>
  <c r="V28" i="1" s="1"/>
  <c r="W28" i="1" s="1"/>
  <c r="L209" i="1"/>
  <c r="P209" i="1" s="1"/>
  <c r="S46" i="1"/>
  <c r="K205" i="1"/>
  <c r="S133" i="1"/>
  <c r="L278" i="1"/>
  <c r="P278" i="1" s="1"/>
  <c r="K33" i="1"/>
  <c r="K41" i="1"/>
  <c r="L303" i="1"/>
  <c r="P303" i="1" s="1"/>
  <c r="S208" i="1"/>
  <c r="L223" i="1"/>
  <c r="P223" i="1" s="1"/>
  <c r="K328" i="1"/>
  <c r="K172" i="1"/>
  <c r="K242" i="1"/>
  <c r="L211" i="1"/>
  <c r="P211" i="1" s="1"/>
  <c r="K126" i="1"/>
  <c r="L154" i="1"/>
  <c r="P154" i="1" s="1"/>
  <c r="S137" i="1"/>
  <c r="M29" i="1"/>
  <c r="Q29" i="1" s="1"/>
  <c r="M133" i="1"/>
  <c r="Q133" i="1" s="1"/>
  <c r="M197" i="1"/>
  <c r="Q197" i="1" s="1"/>
  <c r="L67" i="1"/>
  <c r="P67" i="1" s="1"/>
  <c r="K76" i="1"/>
  <c r="M278" i="1"/>
  <c r="Q278" i="1" s="1"/>
  <c r="S313" i="1"/>
  <c r="M286" i="1"/>
  <c r="Q286" i="1" s="1"/>
  <c r="S33" i="1"/>
  <c r="S41" i="1"/>
  <c r="S303" i="1"/>
  <c r="M210" i="1"/>
  <c r="Q210" i="1" s="1"/>
  <c r="L242" i="1"/>
  <c r="P242" i="1" s="1"/>
  <c r="M184" i="1"/>
  <c r="Q184" i="1" s="1"/>
  <c r="L192" i="1"/>
  <c r="P192" i="1" s="1"/>
  <c r="M351" i="1"/>
  <c r="Q351" i="1" s="1"/>
  <c r="S292" i="1"/>
  <c r="M348" i="1"/>
  <c r="Q348" i="1" s="1"/>
  <c r="S2" i="1"/>
  <c r="L292" i="1"/>
  <c r="P292" i="1" s="1"/>
  <c r="K64" i="1"/>
  <c r="T158" i="1"/>
  <c r="U158" i="1" s="1"/>
  <c r="V158" i="1" s="1"/>
  <c r="T232" i="1"/>
  <c r="U232" i="1" s="1"/>
  <c r="T294" i="1"/>
  <c r="U294" i="1" s="1"/>
  <c r="T34" i="1"/>
  <c r="U34" i="1" s="1"/>
  <c r="T139" i="1"/>
  <c r="U139" i="1" s="1"/>
  <c r="T277" i="1"/>
  <c r="U277" i="1" s="1"/>
  <c r="T224" i="1"/>
  <c r="U224" i="1" s="1"/>
  <c r="T23" i="1"/>
  <c r="U23" i="1" s="1"/>
  <c r="M128" i="1"/>
  <c r="Q128" i="1" s="1"/>
  <c r="S190" i="1"/>
  <c r="L147" i="1"/>
  <c r="P147" i="1" s="1"/>
  <c r="K232" i="1"/>
  <c r="K238" i="1"/>
  <c r="T130" i="1"/>
  <c r="U130" i="1" s="1"/>
  <c r="K222" i="1"/>
  <c r="K68" i="1"/>
  <c r="T20" i="1"/>
  <c r="U20" i="1" s="1"/>
  <c r="L293" i="1"/>
  <c r="P293" i="1" s="1"/>
  <c r="K236" i="1"/>
  <c r="K288" i="1"/>
  <c r="L126" i="1"/>
  <c r="P126" i="1" s="1"/>
  <c r="M292" i="1"/>
  <c r="Q292" i="1" s="1"/>
  <c r="M147" i="1"/>
  <c r="Q147" i="1" s="1"/>
  <c r="S232" i="1"/>
  <c r="L88" i="1"/>
  <c r="P88" i="1" s="1"/>
  <c r="K46" i="1"/>
  <c r="S348" i="1"/>
  <c r="M212" i="1"/>
  <c r="Q212" i="1" s="1"/>
  <c r="M340" i="1"/>
  <c r="Q340" i="1" s="1"/>
  <c r="L322" i="1"/>
  <c r="P322" i="1" s="1"/>
  <c r="L129" i="1"/>
  <c r="P129" i="1" s="1"/>
  <c r="L222" i="1"/>
  <c r="P222" i="1" s="1"/>
  <c r="L365" i="1"/>
  <c r="P365" i="1" s="1"/>
  <c r="S351" i="1"/>
  <c r="T6" i="1"/>
  <c r="U6" i="1" s="1"/>
  <c r="L162" i="1"/>
  <c r="P162" i="1" s="1"/>
  <c r="K271" i="1"/>
  <c r="S322" i="1"/>
  <c r="M295" i="1"/>
  <c r="Q295" i="1" s="1"/>
  <c r="M95" i="1"/>
  <c r="Q95" i="1" s="1"/>
  <c r="L280" i="1"/>
  <c r="P280" i="1" s="1"/>
  <c r="S328" i="1"/>
  <c r="V328" i="1" s="1"/>
  <c r="W328" i="1" s="1"/>
  <c r="T162" i="1"/>
  <c r="U162" i="1" s="1"/>
  <c r="L112" i="1"/>
  <c r="P112" i="1" s="1"/>
  <c r="L327" i="1"/>
  <c r="P327" i="1" s="1"/>
  <c r="K256" i="1"/>
  <c r="L271" i="1"/>
  <c r="P271" i="1" s="1"/>
  <c r="L82" i="1"/>
  <c r="P82" i="1" s="1"/>
  <c r="M118" i="1"/>
  <c r="Q118" i="1" s="1"/>
  <c r="L249" i="1"/>
  <c r="P249" i="1" s="1"/>
  <c r="S148" i="1"/>
  <c r="M261" i="1"/>
  <c r="Q261" i="1" s="1"/>
  <c r="K323" i="1"/>
  <c r="M307" i="1"/>
  <c r="Q307" i="1" s="1"/>
  <c r="S295" i="1"/>
  <c r="L186" i="1"/>
  <c r="P186" i="1" s="1"/>
  <c r="M303" i="1"/>
  <c r="Q303" i="1" s="1"/>
  <c r="M243" i="1"/>
  <c r="Q243" i="1" s="1"/>
  <c r="M362" i="1"/>
  <c r="Q362" i="1" s="1"/>
  <c r="S95" i="1"/>
  <c r="K237" i="1"/>
  <c r="M293" i="1"/>
  <c r="Q293" i="1" s="1"/>
  <c r="K148" i="1"/>
  <c r="S107" i="1"/>
  <c r="K280" i="1"/>
  <c r="L282" i="1"/>
  <c r="P282" i="1" s="1"/>
  <c r="S271" i="1"/>
  <c r="L137" i="1"/>
  <c r="P137" i="1" s="1"/>
  <c r="L240" i="1"/>
  <c r="P240" i="1" s="1"/>
  <c r="L261" i="1"/>
  <c r="P261" i="1" s="1"/>
  <c r="M323" i="1"/>
  <c r="Q323" i="1" s="1"/>
  <c r="S243" i="1"/>
  <c r="K78" i="1"/>
  <c r="T219" i="1"/>
  <c r="U219" i="1" s="1"/>
  <c r="L219" i="1"/>
  <c r="P219" i="1" s="1"/>
  <c r="S219" i="1"/>
  <c r="S198" i="1"/>
  <c r="M198" i="1"/>
  <c r="Q198" i="1" s="1"/>
  <c r="K198" i="1"/>
  <c r="T198" i="1"/>
  <c r="U198" i="1" s="1"/>
  <c r="V198" i="1" s="1"/>
  <c r="M47" i="1"/>
  <c r="Q47" i="1" s="1"/>
  <c r="K47" i="1"/>
  <c r="L47" i="1"/>
  <c r="P47" i="1" s="1"/>
  <c r="S47" i="1"/>
  <c r="S124" i="1"/>
  <c r="M124" i="1"/>
  <c r="Q124" i="1" s="1"/>
  <c r="L124" i="1"/>
  <c r="P124" i="1" s="1"/>
  <c r="K124" i="1"/>
  <c r="W124" i="1" s="1"/>
  <c r="L155" i="1"/>
  <c r="P155" i="1" s="1"/>
  <c r="K155" i="1"/>
  <c r="S155" i="1"/>
  <c r="M155" i="1"/>
  <c r="Q155" i="1" s="1"/>
  <c r="L353" i="1"/>
  <c r="P353" i="1" s="1"/>
  <c r="S353" i="1"/>
  <c r="K258" i="1"/>
  <c r="M258" i="1"/>
  <c r="Q258" i="1" s="1"/>
  <c r="S258" i="1"/>
  <c r="L258" i="1"/>
  <c r="P258" i="1" s="1"/>
  <c r="M316" i="1"/>
  <c r="Q316" i="1" s="1"/>
  <c r="L316" i="1"/>
  <c r="P316" i="1" s="1"/>
  <c r="S316" i="1"/>
  <c r="K316" i="1"/>
  <c r="K15" i="1"/>
  <c r="S15" i="1"/>
  <c r="M15" i="1"/>
  <c r="Q15" i="1" s="1"/>
  <c r="L15" i="1"/>
  <c r="P15" i="1" s="1"/>
  <c r="S74" i="1"/>
  <c r="L74" i="1"/>
  <c r="P74" i="1" s="1"/>
  <c r="S333" i="1"/>
  <c r="M333" i="1"/>
  <c r="Q333" i="1" s="1"/>
  <c r="L338" i="1"/>
  <c r="P338" i="1" s="1"/>
  <c r="S338" i="1"/>
  <c r="M312" i="1"/>
  <c r="Q312" i="1" s="1"/>
  <c r="S312" i="1"/>
  <c r="V312" i="1" s="1"/>
  <c r="W312" i="1" s="1"/>
  <c r="L312" i="1"/>
  <c r="P312" i="1" s="1"/>
  <c r="K312" i="1"/>
  <c r="T300" i="1"/>
  <c r="U300" i="1" s="1"/>
  <c r="S300" i="1"/>
  <c r="V300" i="1" s="1"/>
  <c r="M300" i="1"/>
  <c r="Q300" i="1" s="1"/>
  <c r="K300" i="1"/>
  <c r="T109" i="1"/>
  <c r="U109" i="1" s="1"/>
  <c r="V109" i="1" s="1"/>
  <c r="S238" i="1"/>
  <c r="K30" i="1"/>
  <c r="S30" i="1"/>
  <c r="L30" i="1"/>
  <c r="P30" i="1" s="1"/>
  <c r="M30" i="1"/>
  <c r="Q30" i="1" s="1"/>
  <c r="M48" i="1"/>
  <c r="Q48" i="1" s="1"/>
  <c r="T48" i="1"/>
  <c r="U48" i="1" s="1"/>
  <c r="L48" i="1"/>
  <c r="P48" i="1" s="1"/>
  <c r="M160" i="1"/>
  <c r="Q160" i="1" s="1"/>
  <c r="L160" i="1"/>
  <c r="P160" i="1" s="1"/>
  <c r="S160" i="1"/>
  <c r="T160" i="1"/>
  <c r="U160" i="1" s="1"/>
  <c r="M311" i="1"/>
  <c r="Q311" i="1" s="1"/>
  <c r="K311" i="1"/>
  <c r="T311" i="1"/>
  <c r="U311" i="1" s="1"/>
  <c r="S311" i="1"/>
  <c r="V311" i="1" s="1"/>
  <c r="L311" i="1"/>
  <c r="P311" i="1" s="1"/>
  <c r="K29" i="1"/>
  <c r="S29" i="1"/>
  <c r="S363" i="1"/>
  <c r="T363" i="1"/>
  <c r="U363" i="1" s="1"/>
  <c r="L363" i="1"/>
  <c r="P363" i="1" s="1"/>
  <c r="K363" i="1"/>
  <c r="M363" i="1"/>
  <c r="Q363" i="1" s="1"/>
  <c r="M4" i="1"/>
  <c r="Q4" i="1" s="1"/>
  <c r="L4" i="1"/>
  <c r="P4" i="1" s="1"/>
  <c r="T110" i="1"/>
  <c r="U110" i="1" s="1"/>
  <c r="T337" i="1"/>
  <c r="U337" i="1" s="1"/>
  <c r="K4" i="1"/>
  <c r="T193" i="1"/>
  <c r="U193" i="1" s="1"/>
  <c r="V193" i="1" s="1"/>
  <c r="T275" i="1"/>
  <c r="U275" i="1" s="1"/>
  <c r="V275" i="1" s="1"/>
  <c r="W275" i="1" s="1"/>
  <c r="T292" i="1"/>
  <c r="U292" i="1" s="1"/>
  <c r="V292" i="1" s="1"/>
  <c r="T185" i="1"/>
  <c r="U185" i="1" s="1"/>
  <c r="V185" i="1" s="1"/>
  <c r="T18" i="1"/>
  <c r="U18" i="1" s="1"/>
  <c r="V18" i="1" s="1"/>
  <c r="T217" i="1"/>
  <c r="U217" i="1" s="1"/>
  <c r="V217" i="1" s="1"/>
  <c r="T291" i="1"/>
  <c r="U291" i="1" s="1"/>
  <c r="V291" i="1" s="1"/>
  <c r="T225" i="1"/>
  <c r="U225" i="1" s="1"/>
  <c r="V225" i="1" s="1"/>
  <c r="T3" i="1"/>
  <c r="U3" i="1" s="1"/>
  <c r="V3" i="1" s="1"/>
  <c r="W3" i="1" s="1"/>
  <c r="T266" i="1"/>
  <c r="U266" i="1" s="1"/>
  <c r="V266" i="1" s="1"/>
  <c r="T28" i="1"/>
  <c r="U28" i="1" s="1"/>
  <c r="T211" i="1"/>
  <c r="U211" i="1" s="1"/>
  <c r="V211" i="1" s="1"/>
  <c r="T354" i="1"/>
  <c r="T143" i="1"/>
  <c r="U143" i="1" s="1"/>
  <c r="V143" i="1" s="1"/>
  <c r="T98" i="1"/>
  <c r="U98" i="1" s="1"/>
  <c r="T95" i="1"/>
  <c r="U95" i="1" s="1"/>
  <c r="V95" i="1" s="1"/>
  <c r="T152" i="1"/>
  <c r="U152" i="1" s="1"/>
  <c r="V152" i="1" s="1"/>
  <c r="T76" i="1"/>
  <c r="U76" i="1" s="1"/>
  <c r="V76" i="1" s="1"/>
  <c r="T249" i="1"/>
  <c r="U249" i="1" s="1"/>
  <c r="V249" i="1" s="1"/>
  <c r="T271" i="1"/>
  <c r="U271" i="1" s="1"/>
  <c r="V271" i="1" s="1"/>
  <c r="T187" i="1"/>
  <c r="U187" i="1" s="1"/>
  <c r="T183" i="1"/>
  <c r="U183" i="1" s="1"/>
  <c r="T272" i="1"/>
  <c r="U272" i="1" s="1"/>
  <c r="T11" i="1"/>
  <c r="U11" i="1" s="1"/>
  <c r="V11" i="1" s="1"/>
  <c r="T83" i="1"/>
  <c r="U83" i="1" s="1"/>
  <c r="V83" i="1" s="1"/>
  <c r="W83" i="1" s="1"/>
  <c r="T343" i="1"/>
  <c r="U343" i="1" s="1"/>
  <c r="V343" i="1" s="1"/>
  <c r="W343" i="1" s="1"/>
  <c r="T142" i="1"/>
  <c r="U142" i="1" s="1"/>
  <c r="V142" i="1" s="1"/>
  <c r="W142" i="1" s="1"/>
  <c r="T325" i="1"/>
  <c r="U325" i="1" s="1"/>
  <c r="V325" i="1" s="1"/>
  <c r="W325" i="1" s="1"/>
  <c r="T50" i="1"/>
  <c r="U50" i="1" s="1"/>
  <c r="T10" i="1"/>
  <c r="U10" i="1" s="1"/>
  <c r="T118" i="1"/>
  <c r="U118" i="1" s="1"/>
  <c r="V118" i="1" s="1"/>
  <c r="T341" i="1"/>
  <c r="U341" i="1" s="1"/>
  <c r="V341" i="1" s="1"/>
  <c r="W341" i="1" s="1"/>
  <c r="T26" i="1"/>
  <c r="U26" i="1" s="1"/>
  <c r="T197" i="1"/>
  <c r="U197" i="1" s="1"/>
  <c r="V197" i="1" s="1"/>
  <c r="W197" i="1" s="1"/>
  <c r="T164" i="1"/>
  <c r="U164" i="1" s="1"/>
  <c r="V164" i="1" s="1"/>
  <c r="W164" i="1" s="1"/>
  <c r="T327" i="1"/>
  <c r="U327" i="1" s="1"/>
  <c r="V327" i="1" s="1"/>
  <c r="T362" i="1"/>
  <c r="U362" i="1" s="1"/>
  <c r="V362" i="1" s="1"/>
  <c r="T129" i="1"/>
  <c r="U129" i="1" s="1"/>
  <c r="T216" i="1"/>
  <c r="U216" i="1" s="1"/>
  <c r="V216" i="1" s="1"/>
  <c r="T339" i="1"/>
  <c r="U339" i="1" s="1"/>
  <c r="V339" i="1" s="1"/>
  <c r="W339" i="1" s="1"/>
  <c r="T215" i="1"/>
  <c r="U215" i="1" s="1"/>
  <c r="V215" i="1" s="1"/>
  <c r="T194" i="1"/>
  <c r="T195" i="1"/>
  <c r="U195" i="1" s="1"/>
  <c r="V195" i="1" s="1"/>
  <c r="W195" i="1" s="1"/>
  <c r="T82" i="1"/>
  <c r="U82" i="1" s="1"/>
  <c r="V82" i="1" s="1"/>
  <c r="T190" i="1"/>
  <c r="U190" i="1" s="1"/>
  <c r="T201" i="1"/>
  <c r="U201" i="1" s="1"/>
  <c r="V201" i="1" s="1"/>
  <c r="T280" i="1"/>
  <c r="U280" i="1" s="1"/>
  <c r="T180" i="1"/>
  <c r="U180" i="1" s="1"/>
  <c r="V180" i="1" s="1"/>
  <c r="W180" i="1" s="1"/>
  <c r="T253" i="1"/>
  <c r="U253" i="1" s="1"/>
  <c r="V253" i="1" s="1"/>
  <c r="W253" i="1" s="1"/>
  <c r="T209" i="1"/>
  <c r="U209" i="1" s="1"/>
  <c r="V209" i="1" s="1"/>
  <c r="T7" i="1"/>
  <c r="U7" i="1" s="1"/>
  <c r="V7" i="1" s="1"/>
  <c r="W7" i="1" s="1"/>
  <c r="T221" i="1"/>
  <c r="U221" i="1" s="1"/>
  <c r="V221" i="1" s="1"/>
  <c r="W221" i="1" s="1"/>
  <c r="S102" i="1"/>
  <c r="T102" i="1"/>
  <c r="U102" i="1" s="1"/>
  <c r="M302" i="1"/>
  <c r="Q302" i="1" s="1"/>
  <c r="L302" i="1"/>
  <c r="P302" i="1" s="1"/>
  <c r="T302" i="1"/>
  <c r="U302" i="1" s="1"/>
  <c r="S302" i="1"/>
  <c r="K302" i="1"/>
  <c r="L203" i="1"/>
  <c r="P203" i="1" s="1"/>
  <c r="S203" i="1"/>
  <c r="M203" i="1"/>
  <c r="Q203" i="1" s="1"/>
  <c r="K203" i="1"/>
  <c r="T220" i="1"/>
  <c r="U220" i="1" s="1"/>
  <c r="V220" i="1" s="1"/>
  <c r="L220" i="1"/>
  <c r="P220" i="1" s="1"/>
  <c r="S161" i="1"/>
  <c r="T161" i="1"/>
  <c r="U161" i="1" s="1"/>
  <c r="V161" i="1" s="1"/>
  <c r="L161" i="1"/>
  <c r="P161" i="1" s="1"/>
  <c r="M56" i="1"/>
  <c r="Q56" i="1" s="1"/>
  <c r="K56" i="1"/>
  <c r="L56" i="1"/>
  <c r="P56" i="1" s="1"/>
  <c r="S56" i="1"/>
  <c r="L156" i="1"/>
  <c r="P156" i="1" s="1"/>
  <c r="T54" i="1"/>
  <c r="U54" i="1" s="1"/>
  <c r="V54" i="1" s="1"/>
  <c r="K333" i="1"/>
  <c r="L102" i="1"/>
  <c r="P102" i="1" s="1"/>
  <c r="K224" i="1"/>
  <c r="T14" i="1"/>
  <c r="U14" i="1" s="1"/>
  <c r="M239" i="1"/>
  <c r="Q239" i="1" s="1"/>
  <c r="K239" i="1"/>
  <c r="S94" i="1"/>
  <c r="T94" i="1"/>
  <c r="U94" i="1" s="1"/>
  <c r="M227" i="1"/>
  <c r="Q227" i="1" s="1"/>
  <c r="T227" i="1"/>
  <c r="U227" i="1" s="1"/>
  <c r="L227" i="1"/>
  <c r="P227" i="1" s="1"/>
  <c r="T42" i="1"/>
  <c r="U42" i="1" s="1"/>
  <c r="L42" i="1"/>
  <c r="P42" i="1" s="1"/>
  <c r="T257" i="1"/>
  <c r="U257" i="1" s="1"/>
  <c r="V257" i="1" s="1"/>
  <c r="L257" i="1"/>
  <c r="P257" i="1" s="1"/>
  <c r="T188" i="1"/>
  <c r="U188" i="1" s="1"/>
  <c r="V188" i="1" s="1"/>
  <c r="S366" i="1"/>
  <c r="M366" i="1"/>
  <c r="Q366" i="1" s="1"/>
  <c r="K264" i="1"/>
  <c r="T264" i="1"/>
  <c r="U264" i="1" s="1"/>
  <c r="L264" i="1"/>
  <c r="P264" i="1" s="1"/>
  <c r="S35" i="1"/>
  <c r="M220" i="1"/>
  <c r="Q220" i="1" s="1"/>
  <c r="M219" i="1"/>
  <c r="Q219" i="1" s="1"/>
  <c r="L139" i="1"/>
  <c r="P139" i="1" s="1"/>
  <c r="T67" i="1"/>
  <c r="U67" i="1" s="1"/>
  <c r="V67" i="1" s="1"/>
  <c r="W67" i="1" s="1"/>
  <c r="T124" i="1"/>
  <c r="U124" i="1" s="1"/>
  <c r="V124" i="1" s="1"/>
  <c r="T136" i="1"/>
  <c r="U136" i="1" s="1"/>
  <c r="K34" i="1"/>
  <c r="T53" i="1"/>
  <c r="U53" i="1" s="1"/>
  <c r="V53" i="1" s="1"/>
  <c r="W53" i="1" s="1"/>
  <c r="T304" i="1"/>
  <c r="U304" i="1" s="1"/>
  <c r="V304" i="1" s="1"/>
  <c r="W304" i="1" s="1"/>
  <c r="T155" i="1"/>
  <c r="U155" i="1" s="1"/>
  <c r="V155" i="1" s="1"/>
  <c r="T100" i="1"/>
  <c r="U100" i="1" s="1"/>
  <c r="V100" i="1" s="1"/>
  <c r="W100" i="1" s="1"/>
  <c r="M213" i="1"/>
  <c r="Q213" i="1" s="1"/>
  <c r="S310" i="1"/>
  <c r="T150" i="1"/>
  <c r="U150" i="1" s="1"/>
  <c r="V150" i="1" s="1"/>
  <c r="W150" i="1" s="1"/>
  <c r="T36" i="1"/>
  <c r="U36" i="1" s="1"/>
  <c r="V36" i="1" s="1"/>
  <c r="T49" i="1"/>
  <c r="U49" i="1" s="1"/>
  <c r="V49" i="1" s="1"/>
  <c r="T134" i="1"/>
  <c r="U134" i="1" s="1"/>
  <c r="T328" i="1"/>
  <c r="U328" i="1" s="1"/>
  <c r="S227" i="1"/>
  <c r="M108" i="1"/>
  <c r="Q108" i="1" s="1"/>
  <c r="S48" i="1"/>
  <c r="T137" i="1"/>
  <c r="U137" i="1" s="1"/>
  <c r="V137" i="1" s="1"/>
  <c r="S213" i="1"/>
  <c r="K366" i="1"/>
  <c r="L230" i="1"/>
  <c r="P230" i="1" s="1"/>
  <c r="T89" i="1"/>
  <c r="U89" i="1" s="1"/>
  <c r="V89" i="1" s="1"/>
  <c r="T243" i="1"/>
  <c r="U243" i="1" s="1"/>
  <c r="K5" i="1"/>
  <c r="S5" i="1"/>
  <c r="M5" i="1"/>
  <c r="Q5" i="1" s="1"/>
  <c r="L5" i="1"/>
  <c r="P5" i="1" s="1"/>
  <c r="M315" i="1"/>
  <c r="Q315" i="1" s="1"/>
  <c r="K315" i="1"/>
  <c r="S315" i="1"/>
  <c r="L115" i="1"/>
  <c r="P115" i="1" s="1"/>
  <c r="S115" i="1"/>
  <c r="T115" i="1"/>
  <c r="U115" i="1" s="1"/>
  <c r="K115" i="1"/>
  <c r="M115" i="1"/>
  <c r="Q115" i="1" s="1"/>
  <c r="L101" i="1"/>
  <c r="P101" i="1" s="1"/>
  <c r="K101" i="1"/>
  <c r="S101" i="1"/>
  <c r="K13" i="1"/>
  <c r="M13" i="1"/>
  <c r="Q13" i="1" s="1"/>
  <c r="S13" i="1"/>
  <c r="S87" i="1"/>
  <c r="M87" i="1"/>
  <c r="Q87" i="1" s="1"/>
  <c r="S21" i="1"/>
  <c r="L21" i="1"/>
  <c r="P21" i="1" s="1"/>
  <c r="M21" i="1"/>
  <c r="Q21" i="1" s="1"/>
  <c r="K21" i="1"/>
  <c r="M259" i="1"/>
  <c r="Q259" i="1" s="1"/>
  <c r="S259" i="1"/>
  <c r="K259" i="1"/>
  <c r="T255" i="1"/>
  <c r="U255" i="1" s="1"/>
  <c r="S255" i="1"/>
  <c r="L255" i="1"/>
  <c r="P255" i="1" s="1"/>
  <c r="M255" i="1"/>
  <c r="Q255" i="1" s="1"/>
  <c r="K255" i="1"/>
  <c r="M25" i="1"/>
  <c r="Q25" i="1" s="1"/>
  <c r="T25" i="1"/>
  <c r="U25" i="1" s="1"/>
  <c r="K25" i="1"/>
  <c r="L25" i="1"/>
  <c r="P25" i="1" s="1"/>
  <c r="S25" i="1"/>
  <c r="M163" i="1"/>
  <c r="Q163" i="1" s="1"/>
  <c r="L163" i="1"/>
  <c r="P163" i="1" s="1"/>
  <c r="K163" i="1"/>
  <c r="T204" i="1"/>
  <c r="U204" i="1" s="1"/>
  <c r="V204" i="1" s="1"/>
  <c r="W204" i="1" s="1"/>
  <c r="T345" i="1"/>
  <c r="U345" i="1" s="1"/>
  <c r="V345" i="1" s="1"/>
  <c r="S335" i="1"/>
  <c r="L335" i="1"/>
  <c r="P335" i="1" s="1"/>
  <c r="K335" i="1"/>
  <c r="S63" i="1"/>
  <c r="K63" i="1"/>
  <c r="M63" i="1"/>
  <c r="Q63" i="1" s="1"/>
  <c r="M72" i="1"/>
  <c r="Q72" i="1" s="1"/>
  <c r="L72" i="1"/>
  <c r="P72" i="1" s="1"/>
  <c r="K72" i="1"/>
  <c r="M344" i="1"/>
  <c r="Q344" i="1" s="1"/>
  <c r="S344" i="1"/>
  <c r="L344" i="1"/>
  <c r="P344" i="1" s="1"/>
  <c r="S165" i="1"/>
  <c r="M165" i="1"/>
  <c r="Q165" i="1" s="1"/>
  <c r="L165" i="1"/>
  <c r="P165" i="1" s="1"/>
  <c r="T165" i="1"/>
  <c r="U165" i="1" s="1"/>
  <c r="K122" i="1"/>
  <c r="T122" i="1"/>
  <c r="U122" i="1" s="1"/>
  <c r="S122" i="1"/>
  <c r="L122" i="1"/>
  <c r="P122" i="1" s="1"/>
  <c r="M122" i="1"/>
  <c r="Q122" i="1" s="1"/>
  <c r="S252" i="1"/>
  <c r="V252" i="1" s="1"/>
  <c r="K252" i="1"/>
  <c r="M252" i="1"/>
  <c r="Q252" i="1" s="1"/>
  <c r="L252" i="1"/>
  <c r="P252" i="1" s="1"/>
  <c r="S60" i="1"/>
  <c r="T60" i="1"/>
  <c r="U60" i="1" s="1"/>
  <c r="L60" i="1"/>
  <c r="P60" i="1" s="1"/>
  <c r="K109" i="1"/>
  <c r="L109" i="1"/>
  <c r="P109" i="1" s="1"/>
  <c r="M109" i="1"/>
  <c r="Q109" i="1" s="1"/>
  <c r="S138" i="1"/>
  <c r="L138" i="1"/>
  <c r="P138" i="1" s="1"/>
  <c r="S145" i="1"/>
  <c r="T145" i="1"/>
  <c r="U145" i="1" s="1"/>
  <c r="L145" i="1"/>
  <c r="P145" i="1" s="1"/>
  <c r="M248" i="1"/>
  <c r="Q248" i="1" s="1"/>
  <c r="K248" i="1"/>
  <c r="L248" i="1"/>
  <c r="P248" i="1" s="1"/>
  <c r="S248" i="1"/>
  <c r="L178" i="1"/>
  <c r="P178" i="1" s="1"/>
  <c r="K178" i="1"/>
  <c r="M178" i="1"/>
  <c r="Q178" i="1" s="1"/>
  <c r="L198" i="1"/>
  <c r="P198" i="1" s="1"/>
  <c r="T151" i="1"/>
  <c r="U151" i="1" s="1"/>
  <c r="V151" i="1" s="1"/>
  <c r="W151" i="1" s="1"/>
  <c r="K220" i="1"/>
  <c r="K219" i="1"/>
  <c r="T202" i="1"/>
  <c r="U202" i="1" s="1"/>
  <c r="V202" i="1" s="1"/>
  <c r="T360" i="1"/>
  <c r="U360" i="1" s="1"/>
  <c r="L360" i="1"/>
  <c r="P360" i="1" s="1"/>
  <c r="M189" i="1"/>
  <c r="Q189" i="1" s="1"/>
  <c r="L189" i="1"/>
  <c r="P189" i="1" s="1"/>
  <c r="T65" i="1"/>
  <c r="U65" i="1" s="1"/>
  <c r="V65" i="1" s="1"/>
  <c r="L65" i="1"/>
  <c r="P65" i="1" s="1"/>
  <c r="S254" i="1"/>
  <c r="K254" i="1"/>
  <c r="T254" i="1"/>
  <c r="U254" i="1" s="1"/>
  <c r="T71" i="1"/>
  <c r="U71" i="1" s="1"/>
  <c r="S71" i="1"/>
  <c r="V71" i="1" s="1"/>
  <c r="M71" i="1"/>
  <c r="Q71" i="1" s="1"/>
  <c r="L71" i="1"/>
  <c r="P71" i="1" s="1"/>
  <c r="M38" i="1"/>
  <c r="Q38" i="1" s="1"/>
  <c r="K38" i="1"/>
  <c r="S38" i="1"/>
  <c r="L38" i="1"/>
  <c r="P38" i="1" s="1"/>
  <c r="T38" i="1"/>
  <c r="U38" i="1" s="1"/>
  <c r="L99" i="1"/>
  <c r="P99" i="1" s="1"/>
  <c r="T99" i="1"/>
  <c r="U99" i="1" s="1"/>
  <c r="M99" i="1"/>
  <c r="Q99" i="1" s="1"/>
  <c r="S99" i="1"/>
  <c r="V99" i="1" s="1"/>
  <c r="M20" i="1"/>
  <c r="Q20" i="1" s="1"/>
  <c r="K20" i="1"/>
  <c r="K267" i="1"/>
  <c r="T267" i="1"/>
  <c r="U267" i="1" s="1"/>
  <c r="L267" i="1"/>
  <c r="P267" i="1" s="1"/>
  <c r="T290" i="1"/>
  <c r="U290" i="1" s="1"/>
  <c r="L87" i="1"/>
  <c r="P87" i="1" s="1"/>
  <c r="T281" i="1"/>
  <c r="U281" i="1" s="1"/>
  <c r="V281" i="1" s="1"/>
  <c r="T228" i="1"/>
  <c r="U228" i="1" s="1"/>
  <c r="V228" i="1" s="1"/>
  <c r="W228" i="1" s="1"/>
  <c r="L333" i="1"/>
  <c r="P333" i="1" s="1"/>
  <c r="K102" i="1"/>
  <c r="T72" i="1"/>
  <c r="U72" i="1" s="1"/>
  <c r="V72" i="1" s="1"/>
  <c r="K87" i="1"/>
  <c r="K48" i="1"/>
  <c r="T27" i="1"/>
  <c r="U27" i="1" s="1"/>
  <c r="V27" i="1" s="1"/>
  <c r="S20" i="1"/>
  <c r="V20" i="1" s="1"/>
  <c r="M102" i="1"/>
  <c r="Q102" i="1" s="1"/>
  <c r="L259" i="1"/>
  <c r="P259" i="1" s="1"/>
  <c r="T149" i="1"/>
  <c r="U149" i="1" s="1"/>
  <c r="V149" i="1" s="1"/>
  <c r="T242" i="1"/>
  <c r="U242" i="1" s="1"/>
  <c r="V242" i="1" s="1"/>
  <c r="T226" i="1"/>
  <c r="U226" i="1" s="1"/>
  <c r="T2" i="1"/>
  <c r="U2" i="1" s="1"/>
  <c r="V2" i="1" s="1"/>
  <c r="K227" i="1"/>
  <c r="L300" i="1"/>
  <c r="P300" i="1" s="1"/>
  <c r="L346" i="1"/>
  <c r="P346" i="1" s="1"/>
  <c r="T79" i="1"/>
  <c r="U79" i="1" s="1"/>
  <c r="V79" i="1" s="1"/>
  <c r="W79" i="1" s="1"/>
  <c r="T210" i="1"/>
  <c r="U210" i="1" s="1"/>
  <c r="V210" i="1" s="1"/>
  <c r="L366" i="1"/>
  <c r="P366" i="1" s="1"/>
  <c r="T174" i="1"/>
  <c r="U174" i="1" s="1"/>
  <c r="V174" i="1" s="1"/>
  <c r="W174" i="1" s="1"/>
  <c r="K188" i="1"/>
  <c r="T314" i="1"/>
  <c r="U314" i="1" s="1"/>
  <c r="T324" i="1"/>
  <c r="U324" i="1" s="1"/>
  <c r="L13" i="1"/>
  <c r="P13" i="1" s="1"/>
  <c r="L158" i="1"/>
  <c r="P158" i="1" s="1"/>
  <c r="S158" i="1"/>
  <c r="M158" i="1"/>
  <c r="Q158" i="1" s="1"/>
  <c r="K158" i="1"/>
  <c r="S132" i="1"/>
  <c r="K132" i="1"/>
  <c r="M132" i="1"/>
  <c r="Q132" i="1" s="1"/>
  <c r="T132" i="1"/>
  <c r="U132" i="1" s="1"/>
  <c r="S359" i="1"/>
  <c r="M359" i="1"/>
  <c r="Q359" i="1" s="1"/>
  <c r="T359" i="1"/>
  <c r="U359" i="1" s="1"/>
  <c r="K359" i="1"/>
  <c r="M294" i="1"/>
  <c r="Q294" i="1" s="1"/>
  <c r="L294" i="1"/>
  <c r="P294" i="1" s="1"/>
  <c r="K294" i="1"/>
  <c r="S294" i="1"/>
  <c r="K352" i="1"/>
  <c r="S352" i="1"/>
  <c r="L352" i="1"/>
  <c r="P352" i="1" s="1"/>
  <c r="M352" i="1"/>
  <c r="Q352" i="1" s="1"/>
  <c r="M120" i="1"/>
  <c r="Q120" i="1" s="1"/>
  <c r="S120" i="1"/>
  <c r="T120" i="1"/>
  <c r="U120" i="1" s="1"/>
  <c r="K120" i="1"/>
  <c r="L120" i="1"/>
  <c r="P120" i="1" s="1"/>
  <c r="T127" i="1"/>
  <c r="U127" i="1" s="1"/>
  <c r="S127" i="1"/>
  <c r="V127" i="1" s="1"/>
  <c r="K127" i="1"/>
  <c r="M127" i="1"/>
  <c r="Q127" i="1" s="1"/>
  <c r="L127" i="1"/>
  <c r="P127" i="1" s="1"/>
  <c r="S218" i="1"/>
  <c r="T218" i="1"/>
  <c r="U218" i="1" s="1"/>
  <c r="L218" i="1"/>
  <c r="P218" i="1" s="1"/>
  <c r="L106" i="1"/>
  <c r="P106" i="1" s="1"/>
  <c r="S106" i="1"/>
  <c r="K106" i="1"/>
  <c r="L173" i="1"/>
  <c r="P173" i="1" s="1"/>
  <c r="K173" i="1"/>
  <c r="S230" i="1"/>
  <c r="M230" i="1"/>
  <c r="Q230" i="1" s="1"/>
  <c r="S34" i="1"/>
  <c r="M34" i="1"/>
  <c r="Q34" i="1" s="1"/>
  <c r="L34" i="1"/>
  <c r="P34" i="1" s="1"/>
  <c r="M139" i="1"/>
  <c r="Q139" i="1" s="1"/>
  <c r="K139" i="1"/>
  <c r="T310" i="1"/>
  <c r="U310" i="1" s="1"/>
  <c r="M310" i="1"/>
  <c r="Q310" i="1" s="1"/>
  <c r="K310" i="1"/>
  <c r="T156" i="1"/>
  <c r="U156" i="1" s="1"/>
  <c r="V156" i="1" s="1"/>
  <c r="K156" i="1"/>
  <c r="K153" i="1"/>
  <c r="L153" i="1"/>
  <c r="P153" i="1" s="1"/>
  <c r="M153" i="1"/>
  <c r="Q153" i="1" s="1"/>
  <c r="S153" i="1"/>
  <c r="T153" i="1"/>
  <c r="U153" i="1" s="1"/>
  <c r="S37" i="1"/>
  <c r="K37" i="1"/>
  <c r="M37" i="1"/>
  <c r="Q37" i="1" s="1"/>
  <c r="L37" i="1"/>
  <c r="P37" i="1" s="1"/>
  <c r="S350" i="1"/>
  <c r="L350" i="1"/>
  <c r="P350" i="1" s="1"/>
  <c r="K350" i="1"/>
  <c r="M101" i="1"/>
  <c r="Q101" i="1" s="1"/>
  <c r="T283" i="1"/>
  <c r="U283" i="1" s="1"/>
  <c r="M156" i="1"/>
  <c r="Q156" i="1" s="1"/>
  <c r="T261" i="1"/>
  <c r="U261" i="1" s="1"/>
  <c r="T66" i="1"/>
  <c r="U66" i="1" s="1"/>
  <c r="V66" i="1" s="1"/>
  <c r="M350" i="1"/>
  <c r="Q350" i="1" s="1"/>
  <c r="S57" i="1"/>
  <c r="S123" i="1"/>
  <c r="K123" i="1"/>
  <c r="L123" i="1"/>
  <c r="P123" i="1" s="1"/>
  <c r="M123" i="1"/>
  <c r="Q123" i="1" s="1"/>
  <c r="M224" i="1"/>
  <c r="Q224" i="1" s="1"/>
  <c r="L224" i="1"/>
  <c r="P224" i="1" s="1"/>
  <c r="S224" i="1"/>
  <c r="V224" i="1" s="1"/>
  <c r="K59" i="1"/>
  <c r="M59" i="1"/>
  <c r="Q59" i="1" s="1"/>
  <c r="L59" i="1"/>
  <c r="P59" i="1" s="1"/>
  <c r="M77" i="1"/>
  <c r="Q77" i="1" s="1"/>
  <c r="T77" i="1"/>
  <c r="U77" i="1" s="1"/>
  <c r="V77" i="1" s="1"/>
  <c r="S77" i="1"/>
  <c r="K77" i="1"/>
  <c r="L77" i="1"/>
  <c r="P77" i="1" s="1"/>
  <c r="L35" i="1"/>
  <c r="P35" i="1" s="1"/>
  <c r="K35" i="1"/>
  <c r="L134" i="1"/>
  <c r="P134" i="1" s="1"/>
  <c r="K134" i="1"/>
  <c r="L23" i="1"/>
  <c r="P23" i="1" s="1"/>
  <c r="K23" i="1"/>
  <c r="S23" i="1"/>
  <c r="M23" i="1"/>
  <c r="Q23" i="1" s="1"/>
  <c r="M235" i="1"/>
  <c r="Q235" i="1" s="1"/>
  <c r="K235" i="1"/>
  <c r="S235" i="1"/>
  <c r="T235" i="1"/>
  <c r="U235" i="1" s="1"/>
  <c r="M176" i="1"/>
  <c r="Q176" i="1" s="1"/>
  <c r="L176" i="1"/>
  <c r="P176" i="1" s="1"/>
  <c r="M179" i="1"/>
  <c r="Q179" i="1" s="1"/>
  <c r="L179" i="1"/>
  <c r="P179" i="1" s="1"/>
  <c r="K179" i="1"/>
  <c r="S179" i="1"/>
  <c r="K268" i="1"/>
  <c r="L268" i="1"/>
  <c r="P268" i="1" s="1"/>
  <c r="T268" i="1"/>
  <c r="U268" i="1" s="1"/>
  <c r="M319" i="1"/>
  <c r="Q319" i="1" s="1"/>
  <c r="L319" i="1"/>
  <c r="P319" i="1" s="1"/>
  <c r="S319" i="1"/>
  <c r="M96" i="1"/>
  <c r="Q96" i="1" s="1"/>
  <c r="L96" i="1"/>
  <c r="P96" i="1" s="1"/>
  <c r="S96" i="1"/>
  <c r="K96" i="1"/>
  <c r="M32" i="1"/>
  <c r="Q32" i="1" s="1"/>
  <c r="K32" i="1"/>
  <c r="L32" i="1"/>
  <c r="P32" i="1" s="1"/>
  <c r="T32" i="1"/>
  <c r="U32" i="1" s="1"/>
  <c r="S32" i="1"/>
  <c r="T213" i="1"/>
  <c r="U213" i="1" s="1"/>
  <c r="K213" i="1"/>
  <c r="T326" i="1"/>
  <c r="U326" i="1" s="1"/>
  <c r="K326" i="1"/>
  <c r="S326" i="1"/>
  <c r="L326" i="1"/>
  <c r="P326" i="1" s="1"/>
  <c r="T108" i="1"/>
  <c r="U108" i="1" s="1"/>
  <c r="K108" i="1"/>
  <c r="T263" i="1"/>
  <c r="U263" i="1" s="1"/>
  <c r="T29" i="1"/>
  <c r="U29" i="1" s="1"/>
  <c r="T307" i="1"/>
  <c r="U307" i="1" s="1"/>
  <c r="V307" i="1" s="1"/>
  <c r="L315" i="1"/>
  <c r="P315" i="1" s="1"/>
  <c r="T214" i="1"/>
  <c r="U214" i="1" s="1"/>
  <c r="M320" i="1"/>
  <c r="Q320" i="1" s="1"/>
  <c r="L320" i="1"/>
  <c r="P320" i="1" s="1"/>
  <c r="T318" i="1"/>
  <c r="U318" i="1" s="1"/>
  <c r="M318" i="1"/>
  <c r="Q318" i="1" s="1"/>
  <c r="S318" i="1"/>
  <c r="K318" i="1"/>
  <c r="T97" i="1"/>
  <c r="U97" i="1" s="1"/>
  <c r="L97" i="1"/>
  <c r="P97" i="1" s="1"/>
  <c r="K231" i="1"/>
  <c r="L231" i="1"/>
  <c r="P231" i="1" s="1"/>
  <c r="S90" i="1"/>
  <c r="L90" i="1"/>
  <c r="P90" i="1" s="1"/>
  <c r="T90" i="1"/>
  <c r="U90" i="1" s="1"/>
  <c r="V90" i="1" s="1"/>
  <c r="S283" i="1"/>
  <c r="V283" i="1" s="1"/>
  <c r="L283" i="1"/>
  <c r="P283" i="1" s="1"/>
  <c r="M283" i="1"/>
  <c r="Q283" i="1" s="1"/>
  <c r="K283" i="1"/>
  <c r="M117" i="1"/>
  <c r="Q117" i="1" s="1"/>
  <c r="S117" i="1"/>
  <c r="T117" i="1"/>
  <c r="U117" i="1" s="1"/>
  <c r="M279" i="1"/>
  <c r="Q279" i="1" s="1"/>
  <c r="S279" i="1"/>
  <c r="T279" i="1"/>
  <c r="U279" i="1" s="1"/>
  <c r="L279" i="1"/>
  <c r="P279" i="1" s="1"/>
  <c r="K279" i="1"/>
  <c r="S175" i="1"/>
  <c r="L175" i="1"/>
  <c r="P175" i="1" s="1"/>
  <c r="K175" i="1"/>
  <c r="L297" i="1"/>
  <c r="P297" i="1" s="1"/>
  <c r="S297" i="1"/>
  <c r="T45" i="1"/>
  <c r="U45" i="1" s="1"/>
  <c r="K45" i="1"/>
  <c r="T289" i="1"/>
  <c r="U289" i="1" s="1"/>
  <c r="L289" i="1"/>
  <c r="P289" i="1" s="1"/>
  <c r="T80" i="1"/>
  <c r="U80" i="1" s="1"/>
  <c r="V80" i="1" s="1"/>
  <c r="W80" i="1" s="1"/>
  <c r="S108" i="1"/>
  <c r="T274" i="1"/>
  <c r="U274" i="1" s="1"/>
  <c r="V274" i="1" s="1"/>
  <c r="W274" i="1" s="1"/>
  <c r="M173" i="1"/>
  <c r="Q173" i="1" s="1"/>
  <c r="S134" i="1"/>
  <c r="T357" i="1"/>
  <c r="U357" i="1" s="1"/>
  <c r="V357" i="1" s="1"/>
  <c r="W357" i="1" s="1"/>
  <c r="T35" i="1"/>
  <c r="U35" i="1" s="1"/>
  <c r="S139" i="1"/>
  <c r="V139" i="1" s="1"/>
  <c r="T55" i="1"/>
  <c r="U55" i="1" s="1"/>
  <c r="K160" i="1"/>
  <c r="S163" i="1"/>
  <c r="L117" i="1"/>
  <c r="P117" i="1" s="1"/>
  <c r="T144" i="1"/>
  <c r="U144" i="1" s="1"/>
  <c r="V144" i="1" s="1"/>
  <c r="W144" i="1" s="1"/>
  <c r="T126" i="1"/>
  <c r="U126" i="1" s="1"/>
  <c r="V126" i="1" s="1"/>
  <c r="M335" i="1"/>
  <c r="Q335" i="1" s="1"/>
  <c r="T88" i="1"/>
  <c r="U88" i="1" s="1"/>
  <c r="V88" i="1" s="1"/>
  <c r="L238" i="1"/>
  <c r="P238" i="1" s="1"/>
  <c r="T46" i="1"/>
  <c r="U46" i="1" s="1"/>
  <c r="V46" i="1" s="1"/>
  <c r="T148" i="1"/>
  <c r="U148" i="1" s="1"/>
  <c r="V148" i="1" s="1"/>
  <c r="S188" i="1"/>
  <c r="S176" i="1"/>
  <c r="S268" i="1"/>
  <c r="T140" i="1"/>
  <c r="U140" i="1" s="1"/>
  <c r="V140" i="1" s="1"/>
  <c r="W140" i="1" s="1"/>
  <c r="K94" i="1"/>
  <c r="S59" i="1"/>
  <c r="K60" i="1"/>
  <c r="K44" i="1"/>
  <c r="S169" i="1"/>
  <c r="V169" i="1" s="1"/>
  <c r="T169" i="1"/>
  <c r="U169" i="1" s="1"/>
  <c r="T62" i="1"/>
  <c r="U62" i="1" s="1"/>
  <c r="M62" i="1"/>
  <c r="Q62" i="1" s="1"/>
  <c r="T141" i="1"/>
  <c r="U141" i="1" s="1"/>
  <c r="T241" i="1"/>
  <c r="U241" i="1" s="1"/>
  <c r="V241" i="1" s="1"/>
  <c r="L241" i="1"/>
  <c r="P241" i="1" s="1"/>
  <c r="S103" i="1"/>
  <c r="T103" i="1"/>
  <c r="U103" i="1" s="1"/>
  <c r="L128" i="1"/>
  <c r="P128" i="1" s="1"/>
  <c r="T128" i="1"/>
  <c r="U128" i="1" s="1"/>
  <c r="V128" i="1" s="1"/>
  <c r="K128" i="1"/>
  <c r="T251" i="1"/>
  <c r="U251" i="1" s="1"/>
  <c r="K244" i="1"/>
  <c r="S244" i="1"/>
  <c r="M9" i="1"/>
  <c r="Q9" i="1" s="1"/>
  <c r="L9" i="1"/>
  <c r="P9" i="1" s="1"/>
  <c r="S9" i="1"/>
  <c r="K9" i="1"/>
  <c r="T91" i="1"/>
  <c r="U91" i="1" s="1"/>
  <c r="S91" i="1"/>
  <c r="S280" i="1"/>
  <c r="M172" i="1"/>
  <c r="Q172" i="1" s="1"/>
  <c r="L105" i="1"/>
  <c r="P105" i="1" s="1"/>
  <c r="L167" i="1"/>
  <c r="P167" i="1" s="1"/>
  <c r="L40" i="1"/>
  <c r="P40" i="1" s="1"/>
  <c r="M222" i="1"/>
  <c r="Q222" i="1" s="1"/>
  <c r="K317" i="1"/>
  <c r="S273" i="1"/>
  <c r="L52" i="1"/>
  <c r="P52" i="1" s="1"/>
  <c r="T237" i="1"/>
  <c r="U237" i="1" s="1"/>
  <c r="T39" i="1"/>
  <c r="U39" i="1" s="1"/>
  <c r="V39" i="1" s="1"/>
  <c r="K39" i="1"/>
  <c r="K26" i="1"/>
  <c r="S26" i="1"/>
  <c r="L26" i="1"/>
  <c r="P26" i="1" s="1"/>
  <c r="T334" i="1"/>
  <c r="U334" i="1" s="1"/>
  <c r="V334" i="1" s="1"/>
  <c r="W334" i="1" s="1"/>
  <c r="K334" i="1"/>
  <c r="M334" i="1"/>
  <c r="Q334" i="1" s="1"/>
  <c r="K183" i="1"/>
  <c r="S183" i="1"/>
  <c r="V183" i="1" s="1"/>
  <c r="M66" i="1"/>
  <c r="Q66" i="1" s="1"/>
  <c r="L66" i="1"/>
  <c r="P66" i="1" s="1"/>
  <c r="K66" i="1"/>
  <c r="T17" i="1"/>
  <c r="U17" i="1" s="1"/>
  <c r="L17" i="1"/>
  <c r="P17" i="1" s="1"/>
  <c r="K130" i="1"/>
  <c r="M130" i="1"/>
  <c r="Q130" i="1" s="1"/>
  <c r="S31" i="1"/>
  <c r="M31" i="1"/>
  <c r="Q31" i="1" s="1"/>
  <c r="K362" i="1"/>
  <c r="L362" i="1"/>
  <c r="P362" i="1" s="1"/>
  <c r="S85" i="1"/>
  <c r="L85" i="1"/>
  <c r="P85" i="1" s="1"/>
  <c r="K85" i="1"/>
  <c r="M136" i="1"/>
  <c r="Q136" i="1" s="1"/>
  <c r="L136" i="1"/>
  <c r="P136" i="1" s="1"/>
  <c r="S131" i="1"/>
  <c r="K131" i="1"/>
  <c r="T172" i="1"/>
  <c r="U172" i="1" s="1"/>
  <c r="V172" i="1" s="1"/>
  <c r="K136" i="1"/>
  <c r="S86" i="1"/>
  <c r="K159" i="1"/>
  <c r="L330" i="1"/>
  <c r="P330" i="1" s="1"/>
  <c r="S330" i="1"/>
  <c r="T293" i="1"/>
  <c r="U293" i="1" s="1"/>
  <c r="S226" i="1"/>
  <c r="K112" i="1"/>
  <c r="T282" i="1"/>
  <c r="U282" i="1" s="1"/>
  <c r="L19" i="1"/>
  <c r="P19" i="1" s="1"/>
  <c r="L93" i="1"/>
  <c r="P93" i="1" s="1"/>
  <c r="M131" i="1"/>
  <c r="Q131" i="1" s="1"/>
  <c r="K24" i="1"/>
  <c r="L103" i="1"/>
  <c r="P103" i="1" s="1"/>
  <c r="S251" i="1"/>
  <c r="L68" i="1"/>
  <c r="P68" i="1" s="1"/>
  <c r="K226" i="1"/>
  <c r="M44" i="1"/>
  <c r="Q44" i="1" s="1"/>
  <c r="T112" i="1"/>
  <c r="U112" i="1" s="1"/>
  <c r="T256" i="1"/>
  <c r="U256" i="1" s="1"/>
  <c r="S136" i="1"/>
  <c r="S285" i="1"/>
  <c r="T19" i="1"/>
  <c r="U19" i="1" s="1"/>
  <c r="V19" i="1" s="1"/>
  <c r="T284" i="1"/>
  <c r="U284" i="1" s="1"/>
  <c r="S167" i="1"/>
  <c r="L329" i="1"/>
  <c r="P329" i="1" s="1"/>
  <c r="L131" i="1"/>
  <c r="P131" i="1" s="1"/>
  <c r="L24" i="1"/>
  <c r="P24" i="1" s="1"/>
  <c r="K103" i="1"/>
  <c r="K40" i="1"/>
  <c r="M317" i="1"/>
  <c r="Q317" i="1" s="1"/>
  <c r="K251" i="1"/>
  <c r="M68" i="1"/>
  <c r="Q68" i="1" s="1"/>
  <c r="K17" i="1"/>
  <c r="M39" i="1"/>
  <c r="Q39" i="1" s="1"/>
  <c r="L334" i="1"/>
  <c r="P334" i="1" s="1"/>
  <c r="L237" i="1"/>
  <c r="P237" i="1" s="1"/>
  <c r="K234" i="1"/>
  <c r="M52" i="1"/>
  <c r="Q52" i="1" s="1"/>
  <c r="S277" i="1"/>
  <c r="V277" i="1" s="1"/>
  <c r="M277" i="1"/>
  <c r="Q277" i="1" s="1"/>
  <c r="L70" i="1"/>
  <c r="P70" i="1" s="1"/>
  <c r="L172" i="1"/>
  <c r="P172" i="1" s="1"/>
  <c r="L324" i="1"/>
  <c r="P324" i="1" s="1"/>
  <c r="S324" i="1"/>
  <c r="T229" i="1"/>
  <c r="U229" i="1" s="1"/>
  <c r="V229" i="1" s="1"/>
  <c r="M306" i="1"/>
  <c r="Q306" i="1" s="1"/>
  <c r="S306" i="1"/>
  <c r="K306" i="1"/>
  <c r="M70" i="1"/>
  <c r="Q70" i="1" s="1"/>
  <c r="L44" i="1"/>
  <c r="P44" i="1" s="1"/>
  <c r="S62" i="1"/>
  <c r="K285" i="1"/>
  <c r="M19" i="1"/>
  <c r="Q19" i="1" s="1"/>
  <c r="T323" i="1"/>
  <c r="U323" i="1" s="1"/>
  <c r="V323" i="1" s="1"/>
  <c r="L296" i="1"/>
  <c r="P296" i="1" s="1"/>
  <c r="M296" i="1"/>
  <c r="Q296" i="1" s="1"/>
  <c r="S14" i="1"/>
  <c r="K14" i="1"/>
  <c r="K36" i="1"/>
  <c r="M36" i="1"/>
  <c r="Q36" i="1" s="1"/>
  <c r="L342" i="1"/>
  <c r="P342" i="1" s="1"/>
  <c r="M342" i="1"/>
  <c r="Q342" i="1" s="1"/>
  <c r="L245" i="1"/>
  <c r="P245" i="1" s="1"/>
  <c r="S245" i="1"/>
  <c r="S54" i="1"/>
  <c r="M54" i="1"/>
  <c r="Q54" i="1" s="1"/>
  <c r="S263" i="1"/>
  <c r="M263" i="1"/>
  <c r="Q263" i="1" s="1"/>
  <c r="M288" i="1"/>
  <c r="Q288" i="1" s="1"/>
  <c r="T288" i="1"/>
  <c r="U288" i="1" s="1"/>
  <c r="T93" i="1"/>
  <c r="U93" i="1" s="1"/>
  <c r="S93" i="1"/>
  <c r="M93" i="1"/>
  <c r="Q93" i="1" s="1"/>
  <c r="S70" i="1"/>
  <c r="T44" i="1"/>
  <c r="U44" i="1" s="1"/>
  <c r="V44" i="1" s="1"/>
  <c r="L256" i="1"/>
  <c r="P256" i="1" s="1"/>
  <c r="T285" i="1"/>
  <c r="U285" i="1" s="1"/>
  <c r="V285" i="1" s="1"/>
  <c r="M273" i="1"/>
  <c r="Q273" i="1" s="1"/>
  <c r="S284" i="1"/>
  <c r="L323" i="1"/>
  <c r="P323" i="1" s="1"/>
  <c r="T70" i="1"/>
  <c r="U70" i="1" s="1"/>
  <c r="L229" i="1"/>
  <c r="P229" i="1" s="1"/>
  <c r="K229" i="1"/>
  <c r="S112" i="1"/>
  <c r="S256" i="1"/>
  <c r="M26" i="1"/>
  <c r="Q26" i="1" s="1"/>
  <c r="L54" i="1"/>
  <c r="P54" i="1" s="1"/>
  <c r="M148" i="1"/>
  <c r="Q148" i="1" s="1"/>
  <c r="T167" i="1"/>
  <c r="U167" i="1" s="1"/>
  <c r="S261" i="1"/>
  <c r="V261" i="1" s="1"/>
  <c r="K340" i="1"/>
  <c r="T40" i="1"/>
  <c r="U40" i="1" s="1"/>
  <c r="V40" i="1" s="1"/>
  <c r="S317" i="1"/>
  <c r="L251" i="1"/>
  <c r="P251" i="1" s="1"/>
  <c r="K342" i="1"/>
  <c r="S17" i="1"/>
  <c r="V17" i="1" s="1"/>
  <c r="S39" i="1"/>
  <c r="L107" i="1"/>
  <c r="P107" i="1" s="1"/>
  <c r="M237" i="1"/>
  <c r="Q237" i="1" s="1"/>
  <c r="L234" i="1"/>
  <c r="P234" i="1" s="1"/>
  <c r="S296" i="1"/>
  <c r="S52" i="1"/>
  <c r="M272" i="1"/>
  <c r="Q272" i="1" s="1"/>
  <c r="S272" i="1"/>
  <c r="V272" i="1" s="1"/>
  <c r="W272" i="1" s="1"/>
  <c r="T223" i="1"/>
  <c r="U223" i="1" s="1"/>
  <c r="V223" i="1" s="1"/>
  <c r="W223" i="1" s="1"/>
  <c r="T75" i="1"/>
  <c r="U75" i="1" s="1"/>
  <c r="V75" i="1" s="1"/>
  <c r="W75" i="1" s="1"/>
  <c r="M216" i="1"/>
  <c r="Q216" i="1" s="1"/>
  <c r="L216" i="1"/>
  <c r="P216" i="1" s="1"/>
  <c r="W216" i="1" s="1"/>
  <c r="L286" i="1"/>
  <c r="P286" i="1" s="1"/>
  <c r="M233" i="1"/>
  <c r="Q233" i="1" s="1"/>
  <c r="S287" i="1"/>
  <c r="K365" i="1"/>
  <c r="K298" i="1"/>
  <c r="T299" i="1"/>
  <c r="U299" i="1" s="1"/>
  <c r="T247" i="1"/>
  <c r="U247" i="1" s="1"/>
  <c r="V247" i="1" s="1"/>
  <c r="W247" i="1" s="1"/>
  <c r="T22" i="1"/>
  <c r="U22" i="1" s="1"/>
  <c r="V22" i="1" s="1"/>
  <c r="T111" i="1"/>
  <c r="U111" i="1" s="1"/>
  <c r="V111" i="1" s="1"/>
  <c r="W111" i="1" s="1"/>
  <c r="U194" i="1"/>
  <c r="V194" i="1" s="1"/>
  <c r="V214" i="1"/>
  <c r="V6" i="1"/>
  <c r="U354" i="1"/>
  <c r="V354" i="1" s="1"/>
  <c r="W354" i="1" s="1"/>
  <c r="V10" i="1"/>
  <c r="V294" i="1"/>
  <c r="V130" i="1"/>
  <c r="M360" i="1"/>
  <c r="Q360" i="1" s="1"/>
  <c r="K360" i="1"/>
  <c r="S360" i="1"/>
  <c r="K43" i="1"/>
  <c r="L43" i="1"/>
  <c r="P43" i="1" s="1"/>
  <c r="M43" i="1"/>
  <c r="Q43" i="1" s="1"/>
  <c r="L239" i="1"/>
  <c r="P239" i="1" s="1"/>
  <c r="T239" i="1"/>
  <c r="U239" i="1" s="1"/>
  <c r="S239" i="1"/>
  <c r="S189" i="1"/>
  <c r="T189" i="1"/>
  <c r="U189" i="1" s="1"/>
  <c r="K189" i="1"/>
  <c r="K320" i="1"/>
  <c r="S320" i="1"/>
  <c r="T320" i="1"/>
  <c r="U320" i="1" s="1"/>
  <c r="K250" i="1"/>
  <c r="T250" i="1"/>
  <c r="U250" i="1" s="1"/>
  <c r="M65" i="1"/>
  <c r="Q65" i="1" s="1"/>
  <c r="K65" i="1"/>
  <c r="M97" i="1"/>
  <c r="Q97" i="1" s="1"/>
  <c r="S97" i="1"/>
  <c r="K97" i="1"/>
  <c r="S309" i="1"/>
  <c r="L309" i="1"/>
  <c r="P309" i="1" s="1"/>
  <c r="K73" i="1"/>
  <c r="M73" i="1"/>
  <c r="Q73" i="1" s="1"/>
  <c r="T231" i="1"/>
  <c r="U231" i="1" s="1"/>
  <c r="S231" i="1"/>
  <c r="M214" i="1"/>
  <c r="Q214" i="1" s="1"/>
  <c r="L214" i="1"/>
  <c r="P214" i="1" s="1"/>
  <c r="L254" i="1"/>
  <c r="P254" i="1" s="1"/>
  <c r="M254" i="1"/>
  <c r="Q254" i="1" s="1"/>
  <c r="K90" i="1"/>
  <c r="M90" i="1"/>
  <c r="Q90" i="1" s="1"/>
  <c r="S81" i="1"/>
  <c r="K81" i="1"/>
  <c r="T81" i="1"/>
  <c r="U81" i="1" s="1"/>
  <c r="K42" i="1"/>
  <c r="M42" i="1"/>
  <c r="Q42" i="1" s="1"/>
  <c r="K257" i="1"/>
  <c r="M257" i="1"/>
  <c r="Q257" i="1" s="1"/>
  <c r="T175" i="1"/>
  <c r="U175" i="1" s="1"/>
  <c r="K297" i="1"/>
  <c r="M297" i="1"/>
  <c r="Q297" i="1" s="1"/>
  <c r="T297" i="1"/>
  <c r="U297" i="1" s="1"/>
  <c r="V297" i="1" s="1"/>
  <c r="M188" i="1"/>
  <c r="Q188" i="1" s="1"/>
  <c r="L188" i="1"/>
  <c r="P188" i="1" s="1"/>
  <c r="M45" i="1"/>
  <c r="Q45" i="1" s="1"/>
  <c r="S45" i="1"/>
  <c r="T366" i="1"/>
  <c r="U366" i="1" s="1"/>
  <c r="T296" i="1"/>
  <c r="U296" i="1" s="1"/>
  <c r="T52" i="1"/>
  <c r="U52" i="1" s="1"/>
  <c r="V52" i="1" s="1"/>
  <c r="T173" i="1"/>
  <c r="U173" i="1" s="1"/>
  <c r="V173" i="1" s="1"/>
  <c r="T104" i="1"/>
  <c r="U104" i="1" s="1"/>
  <c r="V104" i="1" s="1"/>
  <c r="W104" i="1" s="1"/>
  <c r="L20" i="1"/>
  <c r="P20" i="1" s="1"/>
  <c r="K202" i="1"/>
  <c r="M202" i="1"/>
  <c r="Q202" i="1" s="1"/>
  <c r="L202" i="1"/>
  <c r="P202" i="1" s="1"/>
  <c r="M267" i="1"/>
  <c r="Q267" i="1" s="1"/>
  <c r="S267" i="1"/>
  <c r="V267" i="1" s="1"/>
  <c r="M264" i="1"/>
  <c r="Q264" i="1" s="1"/>
  <c r="S264" i="1"/>
  <c r="K289" i="1"/>
  <c r="M289" i="1"/>
  <c r="Q289" i="1" s="1"/>
  <c r="S289" i="1"/>
  <c r="K284" i="1"/>
  <c r="M284" i="1"/>
  <c r="Q284" i="1" s="1"/>
  <c r="T96" i="1"/>
  <c r="U96" i="1" s="1"/>
  <c r="T233" i="1"/>
  <c r="U233" i="1" s="1"/>
  <c r="V233" i="1" s="1"/>
  <c r="W233" i="1" s="1"/>
  <c r="T182" i="1"/>
  <c r="U182" i="1" s="1"/>
  <c r="V182" i="1" s="1"/>
  <c r="W182" i="1" s="1"/>
  <c r="T312" i="1"/>
  <c r="U312" i="1" s="1"/>
  <c r="T269" i="1"/>
  <c r="U269" i="1" s="1"/>
  <c r="V269" i="1" s="1"/>
  <c r="W269" i="1" s="1"/>
  <c r="T330" i="1"/>
  <c r="U330" i="1" s="1"/>
  <c r="T138" i="1"/>
  <c r="U138" i="1" s="1"/>
  <c r="T319" i="1"/>
  <c r="U319" i="1" s="1"/>
  <c r="T63" i="1"/>
  <c r="U63" i="1" s="1"/>
  <c r="T157" i="1"/>
  <c r="U157" i="1" s="1"/>
  <c r="V157" i="1" s="1"/>
  <c r="W157" i="1" s="1"/>
  <c r="T166" i="1"/>
  <c r="U166" i="1" s="1"/>
  <c r="V166" i="1" s="1"/>
  <c r="W166" i="1" s="1"/>
  <c r="L73" i="1"/>
  <c r="P73" i="1" s="1"/>
  <c r="T258" i="1"/>
  <c r="T12" i="1"/>
  <c r="U12" i="1" s="1"/>
  <c r="V12" i="1" s="1"/>
  <c r="W12" i="1" s="1"/>
  <c r="T245" i="1"/>
  <c r="U245" i="1" s="1"/>
  <c r="L94" i="1"/>
  <c r="P94" i="1" s="1"/>
  <c r="T30" i="1"/>
  <c r="U30" i="1" s="1"/>
  <c r="V30" i="1" s="1"/>
  <c r="T317" i="1"/>
  <c r="U317" i="1" s="1"/>
  <c r="S250" i="1"/>
  <c r="K309" i="1"/>
  <c r="S42" i="1"/>
  <c r="L81" i="1"/>
  <c r="P81" i="1" s="1"/>
  <c r="T73" i="1"/>
  <c r="U73" i="1" s="1"/>
  <c r="V73" i="1" s="1"/>
  <c r="T332" i="1"/>
  <c r="U332" i="1" s="1"/>
  <c r="V332" i="1" s="1"/>
  <c r="W332" i="1" s="1"/>
  <c r="T353" i="1"/>
  <c r="U353" i="1" s="1"/>
  <c r="V187" i="1"/>
  <c r="W187" i="1" s="1"/>
  <c r="T123" i="1"/>
  <c r="U123" i="1" s="1"/>
  <c r="M250" i="1"/>
  <c r="Q250" i="1" s="1"/>
  <c r="T47" i="1"/>
  <c r="U47" i="1" s="1"/>
  <c r="T13" i="1"/>
  <c r="U13" i="1" s="1"/>
  <c r="T309" i="1"/>
  <c r="U309" i="1" s="1"/>
  <c r="T107" i="1"/>
  <c r="U107" i="1" s="1"/>
  <c r="T270" i="1"/>
  <c r="U270" i="1" s="1"/>
  <c r="V270" i="1" s="1"/>
  <c r="W270" i="1" s="1"/>
  <c r="T287" i="1"/>
  <c r="U287" i="1" s="1"/>
  <c r="T192" i="1"/>
  <c r="U192" i="1" s="1"/>
  <c r="V192" i="1" s="1"/>
  <c r="V55" i="1"/>
  <c r="W55" i="1" s="1"/>
  <c r="T278" i="1"/>
  <c r="U278" i="1" s="1"/>
  <c r="V278" i="1" s="1"/>
  <c r="T16" i="1"/>
  <c r="U16" i="1" s="1"/>
  <c r="V16" i="1" s="1"/>
  <c r="W16" i="1" s="1"/>
  <c r="T313" i="1"/>
  <c r="U313" i="1" s="1"/>
  <c r="T179" i="1"/>
  <c r="U179" i="1" s="1"/>
  <c r="T316" i="1"/>
  <c r="U316" i="1" s="1"/>
  <c r="T350" i="1"/>
  <c r="U350" i="1" s="1"/>
  <c r="T222" i="1"/>
  <c r="U222" i="1" s="1"/>
  <c r="V222" i="1" s="1"/>
  <c r="T315" i="1"/>
  <c r="U315" i="1" s="1"/>
  <c r="T260" i="1"/>
  <c r="U260" i="1" s="1"/>
  <c r="V260" i="1" s="1"/>
  <c r="T303" i="1"/>
  <c r="U303" i="1" s="1"/>
  <c r="V303" i="1" s="1"/>
  <c r="T273" i="1"/>
  <c r="U273" i="1" s="1"/>
  <c r="T114" i="1"/>
  <c r="U114" i="1" s="1"/>
  <c r="V114" i="1" s="1"/>
  <c r="W114" i="1" s="1"/>
  <c r="T43" i="1"/>
  <c r="U43" i="1" s="1"/>
  <c r="V43" i="1" s="1"/>
  <c r="T356" i="1"/>
  <c r="U356" i="1" s="1"/>
  <c r="V356" i="1" s="1"/>
  <c r="W356" i="1" s="1"/>
  <c r="T146" i="1"/>
  <c r="U146" i="1" s="1"/>
  <c r="V146" i="1" s="1"/>
  <c r="T199" i="1"/>
  <c r="U199" i="1" s="1"/>
  <c r="V199" i="1" s="1"/>
  <c r="W199" i="1" s="1"/>
  <c r="T101" i="1"/>
  <c r="U101" i="1" s="1"/>
  <c r="T349" i="1"/>
  <c r="U349" i="1" s="1"/>
  <c r="V349" i="1" s="1"/>
  <c r="W349" i="1" s="1"/>
  <c r="T364" i="1"/>
  <c r="U364" i="1" s="1"/>
  <c r="V364" i="1" s="1"/>
  <c r="W364" i="1" s="1"/>
  <c r="T347" i="1"/>
  <c r="U347" i="1" s="1"/>
  <c r="V347" i="1" s="1"/>
  <c r="T154" i="1"/>
  <c r="U154" i="1" s="1"/>
  <c r="V154" i="1" s="1"/>
  <c r="T207" i="1"/>
  <c r="U207" i="1" s="1"/>
  <c r="K19" i="1"/>
  <c r="T246" i="1"/>
  <c r="U246" i="1" s="1"/>
  <c r="V246" i="1" s="1"/>
  <c r="W246" i="1" s="1"/>
  <c r="T200" i="1"/>
  <c r="U200" i="1" s="1"/>
  <c r="V200" i="1" s="1"/>
  <c r="W200" i="1" s="1"/>
  <c r="T238" i="1"/>
  <c r="U238" i="1" s="1"/>
  <c r="T105" i="1"/>
  <c r="U105" i="1" s="1"/>
  <c r="V105" i="1" s="1"/>
  <c r="T203" i="1"/>
  <c r="U203" i="1" s="1"/>
  <c r="V203" i="1" s="1"/>
  <c r="T74" i="1"/>
  <c r="T84" i="1"/>
  <c r="U84" i="1" s="1"/>
  <c r="V84" i="1" s="1"/>
  <c r="W84" i="1" s="1"/>
  <c r="T176" i="1"/>
  <c r="U176" i="1" s="1"/>
  <c r="V176" i="1" s="1"/>
  <c r="W176" i="1" s="1"/>
  <c r="T230" i="1"/>
  <c r="U230" i="1" s="1"/>
  <c r="T240" i="1"/>
  <c r="U240" i="1" s="1"/>
  <c r="V240" i="1" s="1"/>
  <c r="W240" i="1" s="1"/>
  <c r="T131" i="1"/>
  <c r="U131" i="1" s="1"/>
  <c r="T322" i="1"/>
  <c r="U322" i="1" s="1"/>
  <c r="T119" i="1"/>
  <c r="U119" i="1" s="1"/>
  <c r="T24" i="1"/>
  <c r="U24" i="1" s="1"/>
  <c r="V24" i="1" s="1"/>
  <c r="W24" i="1" s="1"/>
  <c r="T51" i="1"/>
  <c r="U51" i="1" s="1"/>
  <c r="V51" i="1" s="1"/>
  <c r="W51" i="1" s="1"/>
  <c r="T286" i="1"/>
  <c r="U286" i="1" s="1"/>
  <c r="V286" i="1" s="1"/>
  <c r="T57" i="1"/>
  <c r="U57" i="1" s="1"/>
  <c r="T58" i="1"/>
  <c r="U58" i="1" s="1"/>
  <c r="T196" i="1"/>
  <c r="U196" i="1" s="1"/>
  <c r="V196" i="1" s="1"/>
  <c r="W196" i="1" s="1"/>
  <c r="T86" i="1"/>
  <c r="U86" i="1" s="1"/>
  <c r="T234" i="1"/>
  <c r="U234" i="1" s="1"/>
  <c r="V234" i="1" s="1"/>
  <c r="T106" i="1"/>
  <c r="U106" i="1" s="1"/>
  <c r="T125" i="1"/>
  <c r="U125" i="1" s="1"/>
  <c r="V125" i="1" s="1"/>
  <c r="W125" i="1" s="1"/>
  <c r="T365" i="1"/>
  <c r="U365" i="1" s="1"/>
  <c r="V365" i="1" s="1"/>
  <c r="T206" i="1"/>
  <c r="U206" i="1" s="1"/>
  <c r="V206" i="1" s="1"/>
  <c r="W206" i="1" s="1"/>
  <c r="T159" i="1"/>
  <c r="U159" i="1" s="1"/>
  <c r="K58" i="1"/>
  <c r="S58" i="1"/>
  <c r="K177" i="1"/>
  <c r="M177" i="1"/>
  <c r="Q177" i="1" s="1"/>
  <c r="K185" i="1"/>
  <c r="M185" i="1"/>
  <c r="Q185" i="1" s="1"/>
  <c r="K345" i="1"/>
  <c r="M345" i="1"/>
  <c r="Q345" i="1" s="1"/>
  <c r="M10" i="1"/>
  <c r="Q10" i="1" s="1"/>
  <c r="K10" i="1"/>
  <c r="M321" i="1"/>
  <c r="Q321" i="1" s="1"/>
  <c r="K321" i="1"/>
  <c r="K225" i="1"/>
  <c r="M225" i="1"/>
  <c r="Q225" i="1" s="1"/>
  <c r="V110" i="1"/>
  <c r="W110" i="1" s="1"/>
  <c r="T121" i="1"/>
  <c r="U121" i="1" s="1"/>
  <c r="V121" i="1" s="1"/>
  <c r="T205" i="1"/>
  <c r="U205" i="1" s="1"/>
  <c r="V205" i="1" s="1"/>
  <c r="W205" i="1" s="1"/>
  <c r="T113" i="1"/>
  <c r="U113" i="1" s="1"/>
  <c r="V113" i="1" s="1"/>
  <c r="T276" i="1"/>
  <c r="U276" i="1" s="1"/>
  <c r="V276" i="1" s="1"/>
  <c r="W276" i="1" s="1"/>
  <c r="T191" i="1"/>
  <c r="U191" i="1" s="1"/>
  <c r="V191" i="1" s="1"/>
  <c r="W191" i="1" s="1"/>
  <c r="T9" i="1"/>
  <c r="U9" i="1" s="1"/>
  <c r="T177" i="1"/>
  <c r="U177" i="1" s="1"/>
  <c r="V177" i="1" s="1"/>
  <c r="T64" i="1"/>
  <c r="U64" i="1" s="1"/>
  <c r="V64" i="1" s="1"/>
  <c r="T329" i="1"/>
  <c r="U329" i="1" s="1"/>
  <c r="V329" i="1" s="1"/>
  <c r="T340" i="1"/>
  <c r="U340" i="1" s="1"/>
  <c r="V340" i="1" s="1"/>
  <c r="T85" i="1"/>
  <c r="U85" i="1" s="1"/>
  <c r="V245" i="1"/>
  <c r="T178" i="1"/>
  <c r="U178" i="1" s="1"/>
  <c r="V178" i="1" s="1"/>
  <c r="T295" i="1"/>
  <c r="U295" i="1" s="1"/>
  <c r="T69" i="1"/>
  <c r="U69" i="1" s="1"/>
  <c r="V69" i="1" s="1"/>
  <c r="W69" i="1" s="1"/>
  <c r="T248" i="1"/>
  <c r="U248" i="1" s="1"/>
  <c r="T344" i="1"/>
  <c r="U344" i="1" s="1"/>
  <c r="V344" i="1" s="1"/>
  <c r="W344" i="1" s="1"/>
  <c r="T56" i="1"/>
  <c r="U56" i="1" s="1"/>
  <c r="T59" i="1"/>
  <c r="U59" i="1" s="1"/>
  <c r="T186" i="1"/>
  <c r="U186" i="1" s="1"/>
  <c r="T68" i="1"/>
  <c r="U68" i="1" s="1"/>
  <c r="V68" i="1" s="1"/>
  <c r="L273" i="1"/>
  <c r="P273" i="1" s="1"/>
  <c r="T181" i="1"/>
  <c r="U181" i="1" s="1"/>
  <c r="V181" i="1" s="1"/>
  <c r="W181" i="1" s="1"/>
  <c r="T305" i="1"/>
  <c r="U305" i="1" s="1"/>
  <c r="V305" i="1" s="1"/>
  <c r="V60" i="1"/>
  <c r="T301" i="1"/>
  <c r="U301" i="1" s="1"/>
  <c r="V301" i="1" s="1"/>
  <c r="T184" i="1"/>
  <c r="U184" i="1" s="1"/>
  <c r="V184" i="1" s="1"/>
  <c r="W184" i="1" s="1"/>
  <c r="T352" i="1"/>
  <c r="U352" i="1" s="1"/>
  <c r="T351" i="1"/>
  <c r="U351" i="1" s="1"/>
  <c r="T171" i="1"/>
  <c r="U171" i="1" s="1"/>
  <c r="T361" i="1"/>
  <c r="U361" i="1" s="1"/>
  <c r="K57" i="1"/>
  <c r="M57" i="1"/>
  <c r="Q57" i="1" s="1"/>
  <c r="M353" i="1"/>
  <c r="Q353" i="1" s="1"/>
  <c r="K353" i="1"/>
  <c r="K218" i="1"/>
  <c r="M218" i="1"/>
  <c r="Q218" i="1" s="1"/>
  <c r="K74" i="1"/>
  <c r="M74" i="1"/>
  <c r="Q74" i="1" s="1"/>
  <c r="K338" i="1"/>
  <c r="M338" i="1"/>
  <c r="Q338" i="1" s="1"/>
  <c r="T61" i="1"/>
  <c r="U61" i="1" s="1"/>
  <c r="V61" i="1" s="1"/>
  <c r="K346" i="1"/>
  <c r="M346" i="1"/>
  <c r="Q346" i="1" s="1"/>
  <c r="S361" i="1"/>
  <c r="L361" i="1"/>
  <c r="P361" i="1" s="1"/>
  <c r="K361" i="1"/>
  <c r="M361" i="1"/>
  <c r="Q361" i="1" s="1"/>
  <c r="M138" i="1"/>
  <c r="Q138" i="1" s="1"/>
  <c r="K138" i="1"/>
  <c r="M145" i="1"/>
  <c r="Q145" i="1" s="1"/>
  <c r="K145" i="1"/>
  <c r="M161" i="1"/>
  <c r="Q161" i="1" s="1"/>
  <c r="K161" i="1"/>
  <c r="M281" i="1"/>
  <c r="Q281" i="1" s="1"/>
  <c r="K281" i="1"/>
  <c r="K169" i="1"/>
  <c r="M169" i="1"/>
  <c r="Q169" i="1" s="1"/>
  <c r="K217" i="1"/>
  <c r="M217" i="1"/>
  <c r="Q217" i="1" s="1"/>
  <c r="K89" i="1"/>
  <c r="M89" i="1"/>
  <c r="Q89" i="1" s="1"/>
  <c r="K266" i="1"/>
  <c r="M266" i="1"/>
  <c r="Q266" i="1" s="1"/>
  <c r="M121" i="1"/>
  <c r="Q121" i="1" s="1"/>
  <c r="K121" i="1"/>
  <c r="M18" i="1"/>
  <c r="Q18" i="1" s="1"/>
  <c r="K18" i="1"/>
  <c r="S171" i="1"/>
  <c r="T170" i="1"/>
  <c r="U170" i="1" s="1"/>
  <c r="V170" i="1" s="1"/>
  <c r="W170" i="1" s="1"/>
  <c r="S159" i="1"/>
  <c r="T8" i="1"/>
  <c r="U8" i="1" s="1"/>
  <c r="V8" i="1" s="1"/>
  <c r="W8" i="1" s="1"/>
  <c r="K241" i="1"/>
  <c r="M241" i="1"/>
  <c r="Q241" i="1" s="1"/>
  <c r="K314" i="1"/>
  <c r="S314" i="1"/>
  <c r="K282" i="1"/>
  <c r="S282" i="1"/>
  <c r="K162" i="1"/>
  <c r="S162" i="1"/>
  <c r="V162" i="1" s="1"/>
  <c r="K329" i="1"/>
  <c r="M329" i="1"/>
  <c r="Q329" i="1" s="1"/>
  <c r="K249" i="1"/>
  <c r="M249" i="1"/>
  <c r="Q249" i="1" s="1"/>
  <c r="K330" i="1"/>
  <c r="M330" i="1"/>
  <c r="Q330" i="1" s="1"/>
  <c r="M105" i="1"/>
  <c r="Q105" i="1" s="1"/>
  <c r="K105" i="1"/>
  <c r="K82" i="1"/>
  <c r="M82" i="1"/>
  <c r="Q82" i="1" s="1"/>
  <c r="V141" i="1"/>
  <c r="W141" i="1" s="1"/>
  <c r="T252" i="1"/>
  <c r="U252" i="1" s="1"/>
  <c r="T116" i="1"/>
  <c r="U116" i="1" s="1"/>
  <c r="V116" i="1" s="1"/>
  <c r="W116" i="1" s="1"/>
  <c r="T78" i="1"/>
  <c r="U78" i="1" s="1"/>
  <c r="V78" i="1" s="1"/>
  <c r="T265" i="1"/>
  <c r="U265" i="1" s="1"/>
  <c r="V265" i="1" s="1"/>
  <c r="W265" i="1" s="1"/>
  <c r="T31" i="1"/>
  <c r="U31" i="1" s="1"/>
  <c r="T321" i="1"/>
  <c r="U321" i="1" s="1"/>
  <c r="V321" i="1" s="1"/>
  <c r="T168" i="1"/>
  <c r="U168" i="1" s="1"/>
  <c r="V168" i="1" s="1"/>
  <c r="W168" i="1" s="1"/>
  <c r="T262" i="1"/>
  <c r="U262" i="1" s="1"/>
  <c r="V262" i="1" s="1"/>
  <c r="W262" i="1" s="1"/>
  <c r="L6" i="1"/>
  <c r="P6" i="1" s="1"/>
  <c r="W6" i="1" s="1"/>
  <c r="T355" i="1"/>
  <c r="U355" i="1" s="1"/>
  <c r="V355" i="1" s="1"/>
  <c r="W355" i="1" s="1"/>
  <c r="T236" i="1"/>
  <c r="U236" i="1" s="1"/>
  <c r="V236" i="1" s="1"/>
  <c r="W236" i="1" s="1"/>
  <c r="T87" i="1"/>
  <c r="U87" i="1" s="1"/>
  <c r="T92" i="1"/>
  <c r="U92" i="1" s="1"/>
  <c r="V92" i="1" s="1"/>
  <c r="W92" i="1" s="1"/>
  <c r="T346" i="1"/>
  <c r="U346" i="1" s="1"/>
  <c r="V346" i="1" s="1"/>
  <c r="T335" i="1"/>
  <c r="U335" i="1" s="1"/>
  <c r="T15" i="1"/>
  <c r="U15" i="1" s="1"/>
  <c r="T147" i="1"/>
  <c r="U147" i="1" s="1"/>
  <c r="T338" i="1"/>
  <c r="U338" i="1" s="1"/>
  <c r="T135" i="1"/>
  <c r="U135" i="1" s="1"/>
  <c r="V135" i="1" s="1"/>
  <c r="W135" i="1" s="1"/>
  <c r="T37" i="1"/>
  <c r="U37" i="1" s="1"/>
  <c r="T336" i="1"/>
  <c r="U336" i="1" s="1"/>
  <c r="V336" i="1" s="1"/>
  <c r="W336" i="1" s="1"/>
  <c r="T333" i="1"/>
  <c r="U333" i="1" s="1"/>
  <c r="V333" i="1" s="1"/>
  <c r="T348" i="1"/>
  <c r="U348" i="1" s="1"/>
  <c r="V348" i="1" s="1"/>
  <c r="W348" i="1" s="1"/>
  <c r="T331" i="1"/>
  <c r="U331" i="1" s="1"/>
  <c r="V331" i="1" s="1"/>
  <c r="W331" i="1" s="1"/>
  <c r="T212" i="1"/>
  <c r="U212" i="1" s="1"/>
  <c r="V212" i="1" s="1"/>
  <c r="V50" i="1"/>
  <c r="T133" i="1"/>
  <c r="U133" i="1" s="1"/>
  <c r="V133" i="1" s="1"/>
  <c r="W133" i="1" s="1"/>
  <c r="T5" i="1"/>
  <c r="U5" i="1" s="1"/>
  <c r="T358" i="1"/>
  <c r="U358" i="1" s="1"/>
  <c r="V358" i="1" s="1"/>
  <c r="W358" i="1" s="1"/>
  <c r="T259" i="1"/>
  <c r="U259" i="1" s="1"/>
  <c r="T21" i="1"/>
  <c r="U21" i="1" s="1"/>
  <c r="V21" i="1" s="1"/>
  <c r="T306" i="1"/>
  <c r="V316" i="1"/>
  <c r="V129" i="1"/>
  <c r="T33" i="1"/>
  <c r="U33" i="1" s="1"/>
  <c r="V33" i="1" s="1"/>
  <c r="T41" i="1"/>
  <c r="U41" i="1" s="1"/>
  <c r="V41" i="1" s="1"/>
  <c r="T342" i="1"/>
  <c r="U342" i="1" s="1"/>
  <c r="V342" i="1" s="1"/>
  <c r="T208" i="1"/>
  <c r="U208" i="1" s="1"/>
  <c r="V208" i="1" s="1"/>
  <c r="V237" i="1"/>
  <c r="T244" i="1"/>
  <c r="U244" i="1" s="1"/>
  <c r="V244" i="1" s="1"/>
  <c r="S299" i="1"/>
  <c r="T308" i="1"/>
  <c r="U308" i="1" s="1"/>
  <c r="V308" i="1" s="1"/>
  <c r="W308" i="1" s="1"/>
  <c r="T298" i="1"/>
  <c r="U298" i="1" s="1"/>
  <c r="K61" i="1"/>
  <c r="K171" i="1"/>
  <c r="L159" i="1"/>
  <c r="P159" i="1" s="1"/>
  <c r="M129" i="1"/>
  <c r="Q129" i="1" s="1"/>
  <c r="K129" i="1"/>
  <c r="K290" i="1"/>
  <c r="S290" i="1"/>
  <c r="K113" i="1"/>
  <c r="M113" i="1"/>
  <c r="Q113" i="1" s="1"/>
  <c r="K146" i="1"/>
  <c r="M146" i="1"/>
  <c r="Q146" i="1" s="1"/>
  <c r="S186" i="1"/>
  <c r="V186" i="1" s="1"/>
  <c r="K186" i="1"/>
  <c r="S298" i="1"/>
  <c r="V14" i="1"/>
  <c r="K201" i="1"/>
  <c r="M201" i="1"/>
  <c r="Q201" i="1" s="1"/>
  <c r="K50" i="1"/>
  <c r="M50" i="1"/>
  <c r="Q50" i="1" s="1"/>
  <c r="K193" i="1"/>
  <c r="M193" i="1"/>
  <c r="Q193" i="1" s="1"/>
  <c r="K194" i="1"/>
  <c r="M194" i="1"/>
  <c r="Q194" i="1" s="1"/>
  <c r="K209" i="1"/>
  <c r="M209" i="1"/>
  <c r="Q209" i="1" s="1"/>
  <c r="K337" i="1"/>
  <c r="M337" i="1"/>
  <c r="Q337" i="1" s="1"/>
  <c r="P2" i="1"/>
  <c r="W185" i="1" l="1"/>
  <c r="V287" i="1"/>
  <c r="W287" i="1" s="1"/>
  <c r="W78" i="1"/>
  <c r="V86" i="1"/>
  <c r="W86" i="1" s="1"/>
  <c r="W347" i="1"/>
  <c r="W22" i="1"/>
  <c r="W285" i="1"/>
  <c r="W229" i="1"/>
  <c r="W88" i="1"/>
  <c r="V94" i="1"/>
  <c r="W215" i="1"/>
  <c r="V147" i="1"/>
  <c r="W147" i="1" s="1"/>
  <c r="V23" i="1"/>
  <c r="W23" i="1" s="1"/>
  <c r="W49" i="1"/>
  <c r="W11" i="1"/>
  <c r="V227" i="1"/>
  <c r="V282" i="1"/>
  <c r="V273" i="1"/>
  <c r="W273" i="1" s="1"/>
  <c r="V263" i="1"/>
  <c r="W263" i="1" s="1"/>
  <c r="W183" i="1"/>
  <c r="W126" i="1"/>
  <c r="V337" i="1"/>
  <c r="V120" i="1"/>
  <c r="W120" i="1" s="1"/>
  <c r="W154" i="1"/>
  <c r="W19" i="1"/>
  <c r="W41" i="1"/>
  <c r="V47" i="1"/>
  <c r="W47" i="1" s="1"/>
  <c r="V284" i="1"/>
  <c r="W46" i="1"/>
  <c r="V85" i="1"/>
  <c r="W85" i="1" s="1"/>
  <c r="W149" i="1"/>
  <c r="W64" i="1"/>
  <c r="W33" i="1"/>
  <c r="W365" i="1"/>
  <c r="W286" i="1"/>
  <c r="V230" i="1"/>
  <c r="W260" i="1"/>
  <c r="V38" i="1"/>
  <c r="V48" i="1"/>
  <c r="W48" i="1" s="1"/>
  <c r="W297" i="1"/>
  <c r="W61" i="1"/>
  <c r="W301" i="1"/>
  <c r="W43" i="1"/>
  <c r="W192" i="1"/>
  <c r="V123" i="1"/>
  <c r="V324" i="1"/>
  <c r="W324" i="1" s="1"/>
  <c r="V32" i="1"/>
  <c r="W139" i="1"/>
  <c r="W294" i="1"/>
  <c r="W227" i="1"/>
  <c r="W27" i="1"/>
  <c r="W99" i="1"/>
  <c r="V165" i="1"/>
  <c r="W165" i="1" s="1"/>
  <c r="W162" i="1"/>
  <c r="V26" i="1"/>
  <c r="W152" i="1"/>
  <c r="W198" i="1"/>
  <c r="V232" i="1"/>
  <c r="W232" i="1" s="1"/>
  <c r="V238" i="1"/>
  <c r="W238" i="1" s="1"/>
  <c r="V106" i="1"/>
  <c r="V226" i="1"/>
  <c r="W226" i="1" s="1"/>
  <c r="W225" i="1"/>
  <c r="W4" i="1"/>
  <c r="W271" i="1"/>
  <c r="V108" i="1"/>
  <c r="W127" i="1"/>
  <c r="W161" i="1"/>
  <c r="W224" i="1"/>
  <c r="W76" i="1"/>
  <c r="V179" i="1"/>
  <c r="W179" i="1" s="1"/>
  <c r="V63" i="1"/>
  <c r="W63" i="1" s="1"/>
  <c r="V112" i="1"/>
  <c r="W112" i="1" s="1"/>
  <c r="W130" i="1"/>
  <c r="W242" i="1"/>
  <c r="V255" i="1"/>
  <c r="V213" i="1"/>
  <c r="W213" i="1" s="1"/>
  <c r="W36" i="1"/>
  <c r="W118" i="1"/>
  <c r="V98" i="1"/>
  <c r="W98" i="1" s="1"/>
  <c r="W291" i="1"/>
  <c r="V353" i="1"/>
  <c r="W353" i="1" s="1"/>
  <c r="W307" i="1"/>
  <c r="W292" i="1"/>
  <c r="W106" i="1"/>
  <c r="W14" i="1"/>
  <c r="V366" i="1"/>
  <c r="W366" i="1" s="1"/>
  <c r="W54" i="1"/>
  <c r="W186" i="1"/>
  <c r="W244" i="1"/>
  <c r="V351" i="1"/>
  <c r="W351" i="1" s="1"/>
  <c r="V101" i="1"/>
  <c r="W303" i="1"/>
  <c r="V313" i="1"/>
  <c r="W313" i="1" s="1"/>
  <c r="V93" i="1"/>
  <c r="W93" i="1" s="1"/>
  <c r="V167" i="1"/>
  <c r="W167" i="1" s="1"/>
  <c r="W44" i="1"/>
  <c r="V134" i="1"/>
  <c r="V279" i="1"/>
  <c r="W279" i="1" s="1"/>
  <c r="V34" i="1"/>
  <c r="W34" i="1" s="1"/>
  <c r="W210" i="1"/>
  <c r="W267" i="1"/>
  <c r="W137" i="1"/>
  <c r="V136" i="1"/>
  <c r="W136" i="1" s="1"/>
  <c r="W143" i="1"/>
  <c r="V29" i="1"/>
  <c r="W29" i="1" s="1"/>
  <c r="V259" i="1"/>
  <c r="V138" i="1"/>
  <c r="W138" i="1" s="1"/>
  <c r="V310" i="1"/>
  <c r="W310" i="1" s="1"/>
  <c r="V190" i="1"/>
  <c r="W190" i="1" s="1"/>
  <c r="V219" i="1"/>
  <c r="W219" i="1" s="1"/>
  <c r="W208" i="1"/>
  <c r="W212" i="1"/>
  <c r="V119" i="1"/>
  <c r="W119" i="1" s="1"/>
  <c r="V207" i="1"/>
  <c r="W207" i="1" s="1"/>
  <c r="V315" i="1"/>
  <c r="W315" i="1" s="1"/>
  <c r="W278" i="1"/>
  <c r="W214" i="1"/>
  <c r="W211" i="1"/>
  <c r="V296" i="1"/>
  <c r="V288" i="1"/>
  <c r="W288" i="1" s="1"/>
  <c r="V91" i="1"/>
  <c r="W91" i="1" s="1"/>
  <c r="V163" i="1"/>
  <c r="W163" i="1" s="1"/>
  <c r="V35" i="1"/>
  <c r="W35" i="1" s="1"/>
  <c r="W95" i="1"/>
  <c r="V350" i="1"/>
  <c r="W350" i="1" s="1"/>
  <c r="W245" i="1"/>
  <c r="V56" i="1"/>
  <c r="W56" i="1" s="1"/>
  <c r="W237" i="1"/>
  <c r="W316" i="1"/>
  <c r="V87" i="1"/>
  <c r="W87" i="1" s="1"/>
  <c r="W261" i="1"/>
  <c r="V115" i="1"/>
  <c r="W115" i="1" s="1"/>
  <c r="V102" i="1"/>
  <c r="W102" i="1" s="1"/>
  <c r="V160" i="1"/>
  <c r="W160" i="1" s="1"/>
  <c r="W277" i="1"/>
  <c r="W300" i="1"/>
  <c r="W222" i="1"/>
  <c r="W40" i="1"/>
  <c r="W296" i="1"/>
  <c r="W39" i="1"/>
  <c r="W30" i="1"/>
  <c r="V31" i="1"/>
  <c r="W31" i="1" s="1"/>
  <c r="V314" i="1"/>
  <c r="W314" i="1" s="1"/>
  <c r="V248" i="1"/>
  <c r="W248" i="1" s="1"/>
  <c r="V322" i="1"/>
  <c r="W322" i="1" s="1"/>
  <c r="W284" i="1"/>
  <c r="W202" i="1"/>
  <c r="W77" i="1"/>
  <c r="W71" i="1"/>
  <c r="V243" i="1"/>
  <c r="W243" i="1" s="1"/>
  <c r="V57" i="1"/>
  <c r="W57" i="1" s="1"/>
  <c r="V317" i="1"/>
  <c r="W317" i="1" s="1"/>
  <c r="V289" i="1"/>
  <c r="W289" i="1" s="1"/>
  <c r="W90" i="1"/>
  <c r="W293" i="1"/>
  <c r="W172" i="1"/>
  <c r="V62" i="1"/>
  <c r="W62" i="1" s="1"/>
  <c r="V251" i="1"/>
  <c r="W251" i="1" s="1"/>
  <c r="W148" i="1"/>
  <c r="W283" i="1"/>
  <c r="W134" i="1"/>
  <c r="V132" i="1"/>
  <c r="W132" i="1" s="1"/>
  <c r="W26" i="1"/>
  <c r="W311" i="1"/>
  <c r="V335" i="1"/>
  <c r="W335" i="1" s="1"/>
  <c r="V9" i="1"/>
  <c r="V319" i="1"/>
  <c r="W319" i="1" s="1"/>
  <c r="W20" i="1"/>
  <c r="W38" i="1"/>
  <c r="V254" i="1"/>
  <c r="W254" i="1" s="1"/>
  <c r="W72" i="1"/>
  <c r="W203" i="1"/>
  <c r="V107" i="1"/>
  <c r="V175" i="1"/>
  <c r="W175" i="1" s="1"/>
  <c r="W32" i="1"/>
  <c r="W156" i="1"/>
  <c r="V359" i="1"/>
  <c r="W359" i="1" s="1"/>
  <c r="W155" i="1"/>
  <c r="V352" i="1"/>
  <c r="W352" i="1" s="1"/>
  <c r="V295" i="1"/>
  <c r="W295" i="1" s="1"/>
  <c r="W340" i="1"/>
  <c r="V13" i="1"/>
  <c r="W13" i="1" s="1"/>
  <c r="V239" i="1"/>
  <c r="W239" i="1" s="1"/>
  <c r="V70" i="1"/>
  <c r="W70" i="1" s="1"/>
  <c r="W66" i="1"/>
  <c r="W327" i="1"/>
  <c r="W60" i="1"/>
  <c r="V318" i="1"/>
  <c r="W318" i="1" s="1"/>
  <c r="V96" i="1"/>
  <c r="W96" i="1" s="1"/>
  <c r="V235" i="1"/>
  <c r="W235" i="1" s="1"/>
  <c r="V153" i="1"/>
  <c r="W153" i="1" s="1"/>
  <c r="V218" i="1"/>
  <c r="V122" i="1"/>
  <c r="W122" i="1" s="1"/>
  <c r="W259" i="1"/>
  <c r="V363" i="1"/>
  <c r="W363" i="1" s="1"/>
  <c r="V360" i="1"/>
  <c r="V268" i="1"/>
  <c r="W268" i="1" s="1"/>
  <c r="W109" i="1"/>
  <c r="W178" i="1"/>
  <c r="V58" i="1"/>
  <c r="W58" i="1" s="1"/>
  <c r="W94" i="1"/>
  <c r="V256" i="1"/>
  <c r="W256" i="1" s="1"/>
  <c r="W82" i="1"/>
  <c r="V131" i="1"/>
  <c r="W131" i="1" s="1"/>
  <c r="W362" i="1"/>
  <c r="V59" i="1"/>
  <c r="V117" i="1"/>
  <c r="W117" i="1" s="1"/>
  <c r="V302" i="1"/>
  <c r="W323" i="1"/>
  <c r="W220" i="1"/>
  <c r="W128" i="1"/>
  <c r="W59" i="1"/>
  <c r="V45" i="1"/>
  <c r="W45" i="1" s="1"/>
  <c r="W302" i="1"/>
  <c r="Q367" i="1"/>
  <c r="B5" i="8" s="1"/>
  <c r="V290" i="1"/>
  <c r="W290" i="1" s="1"/>
  <c r="W123" i="1"/>
  <c r="V42" i="1"/>
  <c r="W42" i="1" s="1"/>
  <c r="V330" i="1"/>
  <c r="W188" i="1"/>
  <c r="W252" i="1"/>
  <c r="W65" i="1"/>
  <c r="V37" i="1"/>
  <c r="W37" i="1" s="1"/>
  <c r="P367" i="1"/>
  <c r="B4" i="8" s="1"/>
  <c r="W241" i="1"/>
  <c r="W169" i="1"/>
  <c r="W218" i="1"/>
  <c r="W129" i="1"/>
  <c r="W21" i="1"/>
  <c r="W105" i="1"/>
  <c r="W266" i="1"/>
  <c r="W281" i="1"/>
  <c r="W101" i="1"/>
  <c r="V264" i="1"/>
  <c r="W264" i="1" s="1"/>
  <c r="W249" i="1"/>
  <c r="V5" i="1"/>
  <c r="W5" i="1" s="1"/>
  <c r="W108" i="1"/>
  <c r="W337" i="1"/>
  <c r="K367" i="1"/>
  <c r="B3" i="8" s="1"/>
  <c r="W333" i="1"/>
  <c r="V338" i="1"/>
  <c r="W338" i="1" s="1"/>
  <c r="W234" i="1"/>
  <c r="W107" i="1"/>
  <c r="W173" i="1"/>
  <c r="V103" i="1"/>
  <c r="W103" i="1" s="1"/>
  <c r="V145" i="1"/>
  <c r="W145" i="1" s="1"/>
  <c r="V25" i="1"/>
  <c r="W25" i="1" s="1"/>
  <c r="W194" i="1"/>
  <c r="W113" i="1"/>
  <c r="W346" i="1"/>
  <c r="W193" i="1"/>
  <c r="V299" i="1"/>
  <c r="W299" i="1" s="1"/>
  <c r="W146" i="1"/>
  <c r="W68" i="1"/>
  <c r="W52" i="1"/>
  <c r="V97" i="1"/>
  <c r="W97" i="1" s="1"/>
  <c r="W217" i="1"/>
  <c r="W158" i="1"/>
  <c r="W230" i="1"/>
  <c r="W209" i="1"/>
  <c r="W201" i="1"/>
  <c r="W342" i="1"/>
  <c r="V15" i="1"/>
  <c r="W15" i="1" s="1"/>
  <c r="W17" i="1"/>
  <c r="W330" i="1"/>
  <c r="W282" i="1"/>
  <c r="V171" i="1"/>
  <c r="W171" i="1" s="1"/>
  <c r="V361" i="1"/>
  <c r="W361" i="1" s="1"/>
  <c r="W9" i="1"/>
  <c r="G9" i="7" a="1"/>
  <c r="G9" i="7" s="1"/>
  <c r="W255" i="1"/>
  <c r="V280" i="1"/>
  <c r="W280" i="1" s="1"/>
  <c r="V326" i="1"/>
  <c r="W326" i="1" s="1"/>
  <c r="W321" i="1"/>
  <c r="W177" i="1"/>
  <c r="G10" i="7" a="1"/>
  <c r="G10" i="7" s="1"/>
  <c r="F11" i="7" a="1"/>
  <c r="F11" i="7" s="1"/>
  <c r="G6" i="7" a="1"/>
  <c r="G6" i="7" s="1"/>
  <c r="G8" i="7" a="1"/>
  <c r="G8" i="7" s="1"/>
  <c r="V298" i="1"/>
  <c r="W298" i="1" s="1"/>
  <c r="V159" i="1"/>
  <c r="W159" i="1" s="1"/>
  <c r="W50" i="1"/>
  <c r="F12" i="7" a="1"/>
  <c r="F12" i="7" s="1"/>
  <c r="F8" i="7" a="1"/>
  <c r="F8" i="7" s="1"/>
  <c r="D12" i="7" a="1"/>
  <c r="D12" i="7" s="1"/>
  <c r="E7" i="7" a="1"/>
  <c r="E7" i="7" s="1"/>
  <c r="V309" i="1"/>
  <c r="W309" i="1" s="1"/>
  <c r="E10" i="7" a="1"/>
  <c r="E10" i="7" s="1"/>
  <c r="W73" i="1"/>
  <c r="U74" i="1"/>
  <c r="V74" i="1" s="1"/>
  <c r="D10" i="7" a="1"/>
  <c r="D10" i="7" s="1"/>
  <c r="C6" i="7" a="1"/>
  <c r="C6" i="7" s="1"/>
  <c r="F10" i="7" a="1"/>
  <c r="F10" i="7" s="1"/>
  <c r="D7" i="7" a="1"/>
  <c r="D7" i="7" s="1"/>
  <c r="V320" i="1"/>
  <c r="W320" i="1" s="1"/>
  <c r="W18" i="1"/>
  <c r="W10" i="1"/>
  <c r="W329" i="1"/>
  <c r="W257" i="1"/>
  <c r="U258" i="1"/>
  <c r="V258" i="1" s="1"/>
  <c r="W258" i="1" s="1"/>
  <c r="C10" i="7" a="1"/>
  <c r="C10" i="7" s="1"/>
  <c r="D11" i="7" a="1"/>
  <c r="D11" i="7" s="1"/>
  <c r="C9" i="7" a="1"/>
  <c r="C9" i="7" s="1"/>
  <c r="D6" i="7" a="1"/>
  <c r="D6" i="7" s="1"/>
  <c r="E9" i="7" a="1"/>
  <c r="E9" i="7" s="1"/>
  <c r="D9" i="7" a="1"/>
  <c r="D9" i="7" s="1"/>
  <c r="D8" i="7" a="1"/>
  <c r="D8" i="7" s="1"/>
  <c r="W89" i="1"/>
  <c r="L367" i="1"/>
  <c r="W74" i="1"/>
  <c r="W345" i="1"/>
  <c r="E12" i="7" a="1"/>
  <c r="E12" i="7" s="1"/>
  <c r="E8" i="7" a="1"/>
  <c r="E8" i="7" s="1"/>
  <c r="F7" i="7" a="1"/>
  <c r="F7" i="7" s="1"/>
  <c r="G12" i="7" a="1"/>
  <c r="G12" i="7" s="1"/>
  <c r="V81" i="1"/>
  <c r="W81" i="1" s="1"/>
  <c r="V231" i="1"/>
  <c r="W231" i="1" s="1"/>
  <c r="E6" i="7" a="1"/>
  <c r="E6" i="7" s="1"/>
  <c r="F9" i="7" a="1"/>
  <c r="F9" i="7" s="1"/>
  <c r="C8" i="7" a="1"/>
  <c r="C8" i="7" s="1"/>
  <c r="F6" i="7" a="1"/>
  <c r="F6" i="7" s="1"/>
  <c r="E11" i="7" a="1"/>
  <c r="E11" i="7" s="1"/>
  <c r="W305" i="1"/>
  <c r="U306" i="1"/>
  <c r="V306" i="1" s="1"/>
  <c r="W306" i="1" s="1"/>
  <c r="M367" i="1"/>
  <c r="W121" i="1"/>
  <c r="V250" i="1"/>
  <c r="W250" i="1" s="1"/>
  <c r="C11" i="7" a="1"/>
  <c r="C11" i="7" s="1"/>
  <c r="G11" i="7" a="1"/>
  <c r="G11" i="7" s="1"/>
  <c r="G7" i="7" a="1"/>
  <c r="G7" i="7" s="1"/>
  <c r="C12" i="7" a="1"/>
  <c r="C12" i="7" s="1"/>
  <c r="V189" i="1"/>
  <c r="W189" i="1" s="1"/>
  <c r="W360" i="1"/>
  <c r="W2" i="1"/>
  <c r="V367" i="1" l="1"/>
  <c r="B6" i="8" s="1"/>
  <c r="W367" i="1"/>
  <c r="B7" i="8" s="1"/>
  <c r="B8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<sst xmlns="http://schemas.openxmlformats.org/spreadsheetml/2006/main" count="1100" uniqueCount="646">
  <si>
    <t>Datum</t>
  </si>
  <si>
    <t>Wochentag</t>
  </si>
  <si>
    <t>Tag_des_Jahres</t>
  </si>
  <si>
    <t>Haushalt</t>
  </si>
  <si>
    <t>H25</t>
  </si>
  <si>
    <t>normiert auf 1 Mio kWh Jahresverbrauch</t>
  </si>
  <si>
    <t>Bei Ausrollen der Profile ist die Dynamisierungsfunktion anzuwenden!</t>
  </si>
  <si>
    <t>[kWh]</t>
  </si>
  <si>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</si>
  <si>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</si>
  <si>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</si>
  <si>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</si>
  <si>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</si>
  <si>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</si>
  <si>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</si>
  <si>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</si>
  <si>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</si>
  <si>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</si>
  <si>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</si>
  <si>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</si>
  <si>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</si>
  <si>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</si>
  <si>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</si>
  <si>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</si>
  <si>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</si>
  <si>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</si>
  <si>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</si>
  <si>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</si>
  <si>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</si>
  <si>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</si>
  <si>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</si>
  <si>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</si>
  <si>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</si>
  <si>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</si>
  <si>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</si>
  <si>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</si>
  <si>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</si>
  <si>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</si>
  <si>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</si>
  <si>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</si>
  <si>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</si>
  <si>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</si>
  <si>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</si>
  <si>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</si>
  <si>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</si>
  <si>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</si>
  <si>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</si>
  <si>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</si>
  <si>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</si>
  <si>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</si>
  <si>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</si>
  <si>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</si>
  <si>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</si>
  <si>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</si>
  <si>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</si>
  <si>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</si>
  <si>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</si>
  <si>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</si>
  <si>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</si>
  <si>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</si>
  <si>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</si>
  <si>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</si>
  <si>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</si>
  <si>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</si>
  <si>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</si>
  <si>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</si>
  <si>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</si>
  <si>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</si>
  <si>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</si>
  <si>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</si>
  <si>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</si>
  <si>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</si>
  <si>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</si>
  <si>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</si>
  <si>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</si>
  <si>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</si>
  <si>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</si>
  <si>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</si>
  <si>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</si>
  <si>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</si>
  <si>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</si>
  <si>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</si>
  <si>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</si>
  <si>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</si>
  <si>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</si>
  <si>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</si>
  <si>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</si>
  <si>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</si>
  <si>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</si>
  <si>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</si>
  <si>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</si>
  <si>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</si>
  <si>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</si>
  <si>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</si>
  <si>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</si>
  <si>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</si>
  <si>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</si>
  <si>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</si>
  <si>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</si>
  <si>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</si>
  <si>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</si>
  <si>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</si>
  <si>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</si>
  <si>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</si>
  <si>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</si>
  <si>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</si>
  <si>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</si>
  <si>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Monat</t>
  </si>
  <si>
    <t>Tagestyp</t>
  </si>
  <si>
    <t>Tagessumme</t>
  </si>
  <si>
    <t>Key (für Match)</t>
  </si>
  <si>
    <t>1_SA</t>
  </si>
  <si>
    <t>1_FT</t>
  </si>
  <si>
    <t>1_WT</t>
  </si>
  <si>
    <t>2_SA</t>
  </si>
  <si>
    <t>2_FT</t>
  </si>
  <si>
    <t>2_WT</t>
  </si>
  <si>
    <t>3_SA</t>
  </si>
  <si>
    <t>3_FT</t>
  </si>
  <si>
    <t>3_WT</t>
  </si>
  <si>
    <t>4_SA</t>
  </si>
  <si>
    <t>4_FT</t>
  </si>
  <si>
    <t>4_WT</t>
  </si>
  <si>
    <t>5_SA</t>
  </si>
  <si>
    <t>5_FT</t>
  </si>
  <si>
    <t>5_WT</t>
  </si>
  <si>
    <t>6_SA</t>
  </si>
  <si>
    <t>6_FT</t>
  </si>
  <si>
    <t>6_WT</t>
  </si>
  <si>
    <t>7_SA</t>
  </si>
  <si>
    <t>7_FT</t>
  </si>
  <si>
    <t>7_WT</t>
  </si>
  <si>
    <t>8_SA</t>
  </si>
  <si>
    <t>8_FT</t>
  </si>
  <si>
    <t>8_WT</t>
  </si>
  <si>
    <t>9_SA</t>
  </si>
  <si>
    <t>9_FT</t>
  </si>
  <si>
    <t>9_WT</t>
  </si>
  <si>
    <t>10_SA</t>
  </si>
  <si>
    <t>10_FT</t>
  </si>
  <si>
    <t>10_WT</t>
  </si>
  <si>
    <t>11_SA</t>
  </si>
  <si>
    <t>11_FT</t>
  </si>
  <si>
    <t>11_WT</t>
  </si>
  <si>
    <t>12_SA</t>
  </si>
  <si>
    <t>12_FT</t>
  </si>
  <si>
    <t>12_WT</t>
  </si>
  <si>
    <t>BDEW H25 Tagessume je Monat</t>
  </si>
  <si>
    <t>Quelle: https://www.bdew.de/energie/standardlastprofile-strom/</t>
  </si>
  <si>
    <t> Feiertag</t>
  </si>
  <si>
    <t>Neujahr</t>
  </si>
  <si>
    <t>Karfreitag</t>
  </si>
  <si>
    <t>Ostermontag</t>
  </si>
  <si>
    <t>Tag der Arbeit</t>
  </si>
  <si>
    <t>Christi Himmelfahrt</t>
  </si>
  <si>
    <t>Pfingstmontag</t>
  </si>
  <si>
    <t>Fronleichnam</t>
  </si>
  <si>
    <t>Tag der Deutschen Einheit</t>
  </si>
  <si>
    <t>Weihnachten</t>
  </si>
  <si>
    <t>2. Weihnachtstag</t>
  </si>
  <si>
    <t>Label (WT/FT/SA)</t>
  </si>
  <si>
    <t>Fr</t>
  </si>
  <si>
    <t>Mo</t>
  </si>
  <si>
    <t>Do</t>
  </si>
  <si>
    <t>Mi</t>
  </si>
  <si>
    <t>Tag der Woche</t>
  </si>
  <si>
    <t>Kundenprofil</t>
  </si>
  <si>
    <t>Jahresvolumen</t>
  </si>
  <si>
    <t>Einheit</t>
  </si>
  <si>
    <t>MWh</t>
  </si>
  <si>
    <t>Tagesverbrauch (MWh)</t>
  </si>
  <si>
    <t>Profilwert (kWh)</t>
  </si>
  <si>
    <t>Tariff (€/MWh)</t>
  </si>
  <si>
    <t>Erlöse (€)</t>
  </si>
  <si>
    <t>Volumen_fix</t>
  </si>
  <si>
    <t>Volumen_indexiert</t>
  </si>
  <si>
    <t>Beschaffungspreis_fix</t>
  </si>
  <si>
    <t>Beschaffungspreis_indexiert</t>
  </si>
  <si>
    <t>Beschaffung Fixpreisanteil</t>
  </si>
  <si>
    <t>Beschaffungskosten_fix</t>
  </si>
  <si>
    <t>Datenkategorie: Großhandelspreise</t>
  </si>
  <si>
    <t>Region: DE-LU</t>
  </si>
  <si>
    <t>Zeitraum: 01.01.2025 00:00 - 01.01.2026 00:00</t>
  </si>
  <si>
    <t>Stand: 29.07.2026 17:50</t>
  </si>
  <si>
    <t>(c) Bundesnetzagentur | SMARD.de</t>
  </si>
  <si>
    <t>Auflösung: Tag</t>
  </si>
  <si>
    <t>Berechnete Auflösung: Deutschland/Luxemburg, ∅ Anrainer DE/LU, Belgien, Dänemark 1, Dänemark 2, Frankreich, Niederlande, Norwegen 2, Österreich, Polen, Schweden 4, Schweiz, Tschechien, DE/AT/LU, Italien (Nord), Slowenien, Ungarn</t>
  </si>
  <si>
    <t xml:space="preserve">Originalauflösung: </t>
  </si>
  <si>
    <t>Datum von</t>
  </si>
  <si>
    <t>Datum bis</t>
  </si>
  <si>
    <t>Deutschland/Luxemburg [€/MWh]</t>
  </si>
  <si>
    <t>∅ Anrainer DE/LU [€/MWh]</t>
  </si>
  <si>
    <t>Belgien [€/MWh]</t>
  </si>
  <si>
    <t>Dänemark 1 [€/MWh]</t>
  </si>
  <si>
    <t>Dänemark 2 [€/MWh]</t>
  </si>
  <si>
    <t>Frankreich [€/MWh]</t>
  </si>
  <si>
    <t>Niederlande [€/MWh]</t>
  </si>
  <si>
    <t>Norwegen 2 [€/MWh]</t>
  </si>
  <si>
    <t>Österreich [€/MWh]</t>
  </si>
  <si>
    <t>Polen [€/MWh]</t>
  </si>
  <si>
    <t>Schweden 4 [€/MWh]</t>
  </si>
  <si>
    <t>Schweiz [€/MWh]</t>
  </si>
  <si>
    <t>Tschechien [€/MWh]</t>
  </si>
  <si>
    <t>DE/AT/LU [€/MWh]</t>
  </si>
  <si>
    <t>Italien (Nord) [€/MWh]</t>
  </si>
  <si>
    <t>Slowenien [€/MWh]</t>
  </si>
  <si>
    <t>Ungarn [€/MWh]</t>
  </si>
  <si>
    <t>02.01.2025</t>
  </si>
  <si>
    <t>-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</si>
  <si>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</si>
  <si>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</si>
  <si>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</si>
  <si>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</si>
  <si>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</si>
  <si>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</si>
  <si>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</si>
  <si>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</si>
  <si>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</si>
  <si>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</si>
  <si>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</si>
  <si>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</si>
  <si>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</si>
  <si>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</si>
  <si>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</si>
  <si>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</si>
  <si>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</si>
  <si>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</si>
  <si>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</si>
  <si>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</si>
  <si>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</si>
  <si>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</si>
  <si>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</si>
  <si>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</si>
  <si>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</si>
  <si>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</si>
  <si>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</si>
  <si>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</si>
  <si>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</si>
  <si>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</si>
  <si>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</si>
  <si>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</si>
  <si>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</si>
  <si>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</si>
  <si>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</si>
  <si>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</si>
  <si>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</si>
  <si>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</si>
  <si>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</si>
  <si>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</si>
  <si>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</si>
  <si>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</si>
  <si>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</si>
  <si>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</si>
  <si>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</si>
  <si>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</si>
  <si>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</si>
  <si>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</si>
  <si>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</si>
  <si>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</si>
  <si>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</si>
  <si>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</si>
  <si>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</si>
  <si>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</si>
  <si>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</si>
  <si>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</si>
  <si>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</si>
  <si>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</si>
  <si>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</si>
  <si>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</si>
  <si>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</si>
  <si>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</si>
  <si>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</si>
  <si>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</si>
  <si>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</si>
  <si>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</si>
  <si>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</si>
  <si>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</si>
  <si>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</si>
  <si>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</si>
  <si>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</si>
  <si>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</si>
  <si>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</si>
  <si>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</si>
  <si>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</si>
  <si>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</si>
  <si>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</si>
  <si>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</si>
  <si>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</si>
  <si>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</si>
  <si>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</si>
  <si>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</si>
  <si>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</si>
  <si>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</si>
  <si>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</si>
  <si>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</si>
  <si>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</si>
  <si>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</si>
  <si>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</si>
  <si>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</si>
  <si>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</si>
  <si>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</si>
  <si>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</si>
  <si>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</si>
  <si>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</si>
  <si>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</si>
  <si>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</si>
  <si>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</si>
  <si>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</si>
  <si>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</si>
  <si>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</si>
  <si>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</si>
  <si>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</si>
  <si>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</si>
  <si>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</si>
  <si>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</si>
  <si>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</si>
  <si>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</si>
  <si>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</si>
  <si>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</si>
  <si>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</si>
  <si>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</si>
  <si>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</si>
  <si>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</si>
  <si>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</si>
  <si>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</si>
  <si>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</si>
  <si>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</si>
  <si>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</si>
  <si>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</si>
  <si>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</si>
  <si>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</si>
  <si>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</si>
  <si>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</si>
  <si>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</si>
  <si>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</si>
  <si>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</si>
  <si>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</si>
  <si>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</si>
  <si>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</si>
  <si>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</si>
  <si>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</si>
  <si>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</si>
  <si>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</si>
  <si>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</si>
  <si>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</si>
  <si>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</si>
  <si>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</si>
  <si>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</si>
  <si>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</si>
  <si>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</si>
  <si>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</si>
  <si>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</si>
  <si>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</si>
  <si>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</si>
  <si>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</si>
  <si>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</si>
  <si>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</si>
  <si>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</si>
  <si>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</si>
  <si>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</si>
  <si>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</si>
  <si>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</si>
  <si>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</si>
  <si>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</si>
  <si>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</si>
  <si>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</si>
  <si>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</si>
  <si>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</si>
  <si>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</si>
  <si>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</si>
  <si>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</si>
  <si>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</si>
  <si>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</si>
  <si>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</si>
  <si>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</si>
  <si>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</si>
  <si>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</si>
  <si>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</si>
  <si>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</si>
  <si>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</si>
  <si>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</si>
  <si>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</si>
  <si>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</si>
  <si>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</si>
  <si>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</si>
  <si>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</si>
  <si>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</si>
  <si>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</si>
  <si>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</si>
  <si>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</si>
  <si>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</si>
  <si>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</si>
  <si>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</si>
  <si>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</si>
  <si>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</si>
  <si>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</si>
  <si>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</si>
  <si>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</si>
  <si>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</si>
  <si>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</si>
  <si>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</si>
  <si>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</si>
  <si>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</si>
  <si>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</si>
  <si>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</si>
  <si>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</si>
  <si>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</si>
  <si>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</si>
  <si>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</si>
  <si>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</si>
  <si>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</si>
  <si>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</si>
  <si>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</si>
  <si>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</si>
  <si>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</si>
  <si>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</si>
  <si>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</si>
  <si>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</si>
  <si>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</si>
  <si>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</si>
  <si>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</si>
  <si>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</si>
  <si>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</si>
  <si>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</si>
  <si>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</si>
  <si>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</si>
  <si>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</si>
  <si>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</si>
  <si>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</si>
  <si>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</si>
  <si>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</si>
  <si>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</si>
  <si>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</si>
  <si>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</si>
  <si>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</si>
  <si>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</si>
  <si>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</si>
  <si>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</si>
  <si>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</si>
  <si>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</si>
  <si>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</si>
  <si>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</si>
  <si>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</si>
  <si>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</si>
  <si>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</si>
  <si>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</si>
  <si>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</si>
  <si>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</si>
  <si>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</si>
  <si>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</si>
  <si>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</si>
  <si>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</si>
  <si>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</si>
  <si>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</si>
  <si>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</si>
  <si>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</si>
  <si>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</si>
  <si>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</si>
  <si>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</si>
  <si>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</si>
  <si>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</si>
  <si>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</si>
  <si>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</si>
  <si>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</si>
  <si>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</si>
  <si>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</si>
  <si>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</si>
  <si>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</si>
  <si>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</si>
  <si>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</si>
  <si>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</si>
  <si>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</si>
  <si>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</si>
  <si>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</si>
  <si>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</si>
  <si>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</si>
  <si>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</si>
  <si>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</si>
  <si>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</si>
  <si>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</si>
  <si>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</si>
  <si>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</si>
  <si>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</si>
  <si>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</si>
  <si>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</si>
  <si>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</si>
  <si>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</si>
  <si>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</si>
  <si>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</si>
  <si>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</si>
  <si>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</si>
  <si>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</si>
  <si>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</si>
  <si>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</si>
  <si>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</si>
  <si>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</si>
  <si>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</si>
  <si>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</si>
  <si>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</si>
  <si>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</si>
  <si>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</si>
  <si>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</si>
  <si>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</si>
  <si>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</si>
  <si>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</si>
  <si>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</si>
  <si>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</si>
  <si>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</si>
  <si>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</si>
  <si>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</si>
  <si>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</si>
  <si>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</si>
  <si>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</si>
  <si>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</si>
  <si>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</si>
  <si>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</si>
  <si>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</si>
  <si>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</si>
  <si>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</si>
  <si>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</si>
  <si>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</si>
  <si>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</si>
  <si>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</si>
  <si>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</si>
  <si>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</si>
  <si>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</si>
  <si>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</si>
  <si>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</si>
  <si>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</si>
  <si>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</si>
  <si>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</si>
  <si>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</si>
  <si>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</si>
  <si>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</si>
  <si>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</si>
  <si>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</si>
  <si>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</si>
  <si>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</si>
  <si>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</si>
  <si>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</si>
  <si>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</si>
  <si>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</si>
  <si>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</si>
  <si>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</si>
  <si>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</si>
  <si>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</si>
  <si>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</si>
  <si>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</si>
  <si>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</si>
  <si>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</si>
  <si>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</si>
  <si>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</si>
  <si>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</si>
  <si>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</si>
  <si>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</si>
  <si>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</si>
  <si>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</si>
  <si>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</si>
  <si>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</si>
  <si>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</si>
  <si>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</si>
  <si>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</si>
  <si>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</si>
  <si>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</si>
  <si>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</si>
  <si>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</si>
  <si>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</si>
  <si>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</si>
  <si>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</si>
  <si>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</si>
  <si>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</si>
  <si>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</si>
  <si>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</si>
  <si>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Beschaffungskosten_indexiert</t>
  </si>
  <si>
    <t>Liste der Annahmen</t>
  </si>
  <si>
    <t>Profil Abweichung</t>
  </si>
  <si>
    <t>Volumen_Abweichung</t>
  </si>
  <si>
    <t>Profil_Abweichung</t>
  </si>
  <si>
    <t>Stress_Tag</t>
  </si>
  <si>
    <t>reBAP_Spread Annahme</t>
  </si>
  <si>
    <t>reBAP_Spread Aufschlag</t>
  </si>
  <si>
    <t>Kosten_Ausgleichsenerge</t>
  </si>
  <si>
    <t>reBAP_Preis (€/MWh)</t>
  </si>
  <si>
    <t>Deckungsbeitrag</t>
  </si>
  <si>
    <t>Gesetzliche Feiertage in Hessen 2025</t>
  </si>
  <si>
    <t>Quelle/Anmerkung</t>
  </si>
  <si>
    <t>Exemplar. Entspricht 1400 Haushalte mit Verbrauch von 3500 kWh/Jahr</t>
  </si>
  <si>
    <t>Anteil des Portfoliovolumens, der zum Fixpreis gemacht wurde</t>
  </si>
  <si>
    <t>Angenommener Preis</t>
  </si>
  <si>
    <t>Angenommener durchschnittlicher Aufschlag von reBAP gegenüber dem Indexpreis in Normalzeiten</t>
  </si>
  <si>
    <t>Vertriebs/Margenanteil (Netzentgelte, Stromsteuer sind ausgenommen)</t>
  </si>
  <si>
    <t>Summe</t>
  </si>
  <si>
    <t>Wichtige Ergebnisse / KPIs</t>
  </si>
  <si>
    <t>Gesamte Ausgleichsenergie Kosten für Jahr 2025</t>
  </si>
  <si>
    <t>Jahres Erlöse</t>
  </si>
  <si>
    <t>Sensitivität</t>
  </si>
  <si>
    <t>Abweichung/Stress</t>
  </si>
  <si>
    <t>Stress Aufschlag (€)</t>
  </si>
  <si>
    <t>Profil Abweichung (%)</t>
  </si>
  <si>
    <t>Diese Sensitivitätsanalyse untersucht, wie stark sich der Deckungsbeitrag verändert, wenn sich die Profilabweichung und der Stressaufschlag für reBAP ändern. Die Erlöse und Beschaffungskosten bleiben dabei unverändert.</t>
  </si>
  <si>
    <t>Wichtige Hinweise:</t>
  </si>
  <si>
    <t>Der reBAP-Preis berechnet sich wie folgt:</t>
  </si>
  <si>
    <t>Indexpreis (Spotpreis) + reBAP-Preis für Ausgleichsenergie + reBAP-Preis für Stress-Tage (an denen der Verbrauch zu den obersten bzw. untersten 5 % gehörte)</t>
  </si>
  <si>
    <t>Jahres Deckungsbeitrag</t>
  </si>
  <si>
    <t>Jahres Deckungsbeitrag-Marge %</t>
  </si>
  <si>
    <t>Sheet</t>
  </si>
  <si>
    <t>Typ</t>
  </si>
  <si>
    <t>Beschreibung</t>
  </si>
  <si>
    <t>Annahmen</t>
  </si>
  <si>
    <t>Eigene Berechnung</t>
  </si>
  <si>
    <t>Eigene Berechnung (aus Quelldaten)</t>
  </si>
  <si>
    <t>Zentrale Annahmen für Tarif, Beschaffung, reBAP</t>
  </si>
  <si>
    <t>Tagesgenaues Deckungsbeitragsmodell 2025</t>
  </si>
  <si>
    <t>Sensitivitätsanalyse Profilabweichung × reBAP-Stress</t>
  </si>
  <si>
    <t>Aggregierte Tagessummen aus dem BDEW H25-Profil</t>
  </si>
  <si>
    <t>Original BDEW-Profildatei (bdew.de)</t>
  </si>
  <si>
    <t>SMARD Day-Ahead-Preise 2025 (smard.de)</t>
  </si>
  <si>
    <t>https://www.bdew.de/energie/standardlastprofile-strom/</t>
  </si>
  <si>
    <t>Quelle</t>
  </si>
  <si>
    <t>Kunde-SLP_Tagesmodell</t>
  </si>
  <si>
    <t>BDEW-H25 Tagessummen</t>
  </si>
  <si>
    <t>Quelle_BDEW_H25</t>
  </si>
  <si>
    <t>Quelle_SMARD_Preise_2025</t>
  </si>
  <si>
    <t>Quelldaten (unverändert)</t>
  </si>
  <si>
    <t>KPI</t>
  </si>
  <si>
    <t xml:space="preserve">Eigene Berechnung </t>
  </si>
  <si>
    <t>Kernergebnisse aus der Kalkulation</t>
  </si>
  <si>
    <t>Feiertage_Hessen_2025</t>
  </si>
  <si>
    <t>https://www.arbeitstage.org/hessen/feiertage-2025-hessen/#google_vignette</t>
  </si>
  <si>
    <t>Feiertage in Hessen 2025</t>
  </si>
  <si>
    <t>Übersicht</t>
  </si>
  <si>
    <t>Eigene Datei</t>
  </si>
  <si>
    <t>Übersicht aller relevanten Dateien</t>
  </si>
  <si>
    <t>€/MWh</t>
  </si>
  <si>
    <t>Endkundentarif</t>
  </si>
  <si>
    <t>Beschaffung Fixpreistarif</t>
  </si>
  <si>
    <t xml:space="preserve">BDEW für Haushaltskunden </t>
  </si>
  <si>
    <t>Angenommener Abweichung zwischen prognostiziertem und tatsächlicher Jahresverbrauch</t>
  </si>
  <si>
    <t>Zusätzlicher Aufschlag an Stress-Tagen (Top-/Bottom-5%-Tage der Tage des tatsächlichen Tagesverbrauchs (BDEW H25).)</t>
  </si>
  <si>
    <t>https://www.smard.de/en/downloadcenter/download-market-data/?downloadAttributes=%7B%22superCategoryId%22:3,%22subcategoryId%22:8,%22regionId%22:%22DE-LU%22,%22resolution%22:%22day%22,%22fileType%22:%22XLS%22,%22from%22:1735686000000,%22to%22:1767221999999%7D</t>
  </si>
  <si>
    <t>Dynamisierungsfaktor</t>
  </si>
  <si>
    <t>Dynamisches Profil</t>
  </si>
  <si>
    <t>Dynamisierungsfunktion</t>
  </si>
  <si>
    <t>Quelle_BDEW_Dynamisierung</t>
  </si>
  <si>
    <t>Original-Blatt "Dynamisierung" mit Koeffizienten und Anwendungshinweisen zur Dynamisierungsfunktion (H25/P25/S25)</t>
  </si>
  <si>
    <t>Profilwert Dynamisiert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</si>
</sst>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mmmm"/>
    <numFmt numFmtId="165" formatCode="0.000"/>
    <numFmt numFmtId="166" formatCode="#,##0.00\ &quot;€&quot;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</font>
    <font>
      <sz val="10"/>
      <color indexed="43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7" fillId="0" borderId="0"/>
    <xf numFmtId="9" fontId="9" fillId="0" borderId="0" applyFont="0" applyFill="0" applyBorder="0" applyAlignment="0" applyProtection="0"/>
    <xf numFmtId="0" fontId="12" fillId="0" borderId="0"/>
  </cellStyleXfs>
  <cellXfs count="112">
    <xf numFmtId="0" fontId="0" fillId="0" borderId="0" xfId="0"/>
    <xf numFmtId="0" fontId="4" fillId="0" borderId="0" xfId="1" applyFont="1"/>
    <xf numFmtId="0" fontId="3" fillId="0" borderId="0" xfId="1"/>
    <xf numFmtId="164" fontId="1" fillId="2" borderId="1" xfId="1" applyNumberFormat="1" applyFont="1" applyFill="1" applyBorder="1" applyAlignment="1">
      <alignment horizontal="center"/>
    </xf>
    <xf numFmtId="164" fontId="1" fillId="2" borderId="2" xfId="1" applyNumberFormat="1" applyFont="1" applyFill="1" applyBorder="1" applyAlignment="1">
      <alignment horizontal="center"/>
    </xf>
    <xf numFmtId="164" fontId="1" fillId="2" borderId="3" xfId="1" applyNumberFormat="1" applyFont="1" applyFill="1" applyBorder="1" applyAlignment="1">
      <alignment horizontal="center"/>
    </xf>
    <xf numFmtId="164" fontId="1" fillId="3" borderId="2" xfId="1" applyNumberFormat="1" applyFont="1" applyFill="1" applyBorder="1" applyAlignment="1">
      <alignment horizontal="center"/>
    </xf>
    <xf numFmtId="164" fontId="1" fillId="3" borderId="3" xfId="1" applyNumberFormat="1" applyFont="1" applyFill="1" applyBorder="1" applyAlignment="1">
      <alignment horizontal="center"/>
    </xf>
    <xf numFmtId="164" fontId="1" fillId="4" borderId="1" xfId="1" applyNumberFormat="1" applyFont="1" applyFill="1" applyBorder="1" applyAlignment="1">
      <alignment horizontal="center"/>
    </xf>
    <xf numFmtId="164" fontId="1" fillId="4" borderId="2" xfId="1" applyNumberFormat="1" applyFont="1" applyFill="1" applyBorder="1" applyAlignment="1">
      <alignment horizontal="center"/>
    </xf>
    <xf numFmtId="164" fontId="1" fillId="4" borderId="3" xfId="1" applyNumberFormat="1" applyFont="1" applyFill="1" applyBorder="1" applyAlignment="1">
      <alignment horizontal="center"/>
    </xf>
    <xf numFmtId="164" fontId="1" fillId="5" borderId="1" xfId="1" applyNumberFormat="1" applyFont="1" applyFill="1" applyBorder="1" applyAlignment="1">
      <alignment horizontal="center"/>
    </xf>
    <xf numFmtId="164" fontId="1" fillId="5" borderId="2" xfId="1" applyNumberFormat="1" applyFont="1" applyFill="1" applyBorder="1" applyAlignment="1">
      <alignment horizontal="center"/>
    </xf>
    <xf numFmtId="164" fontId="1" fillId="5" borderId="3" xfId="1" applyNumberFormat="1" applyFont="1" applyFill="1" applyBorder="1" applyAlignment="1">
      <alignment horizontal="center"/>
    </xf>
    <xf numFmtId="164" fontId="1" fillId="6" borderId="1" xfId="1" applyNumberFormat="1" applyFont="1" applyFill="1" applyBorder="1" applyAlignment="1">
      <alignment horizontal="center"/>
    </xf>
    <xf numFmtId="164" fontId="1" fillId="6" borderId="2" xfId="1" applyNumberFormat="1" applyFont="1" applyFill="1" applyBorder="1" applyAlignment="1">
      <alignment horizontal="center"/>
    </xf>
    <xf numFmtId="164" fontId="1" fillId="6" borderId="3" xfId="1" applyNumberFormat="1" applyFont="1" applyFill="1" applyBorder="1" applyAlignment="1">
      <alignment horizontal="center"/>
    </xf>
    <xf numFmtId="164" fontId="1" fillId="7" borderId="1" xfId="1" applyNumberFormat="1" applyFont="1" applyFill="1" applyBorder="1" applyAlignment="1">
      <alignment horizontal="center"/>
    </xf>
    <xf numFmtId="164" fontId="1" fillId="7" borderId="2" xfId="1" applyNumberFormat="1" applyFont="1" applyFill="1" applyBorder="1" applyAlignment="1">
      <alignment horizontal="center"/>
    </xf>
    <xf numFmtId="164" fontId="1" fillId="7" borderId="3" xfId="1" applyNumberFormat="1" applyFont="1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center"/>
    </xf>
    <xf numFmtId="0" fontId="1" fillId="8" borderId="4" xfId="1" applyFont="1" applyFill="1" applyBorder="1" applyAlignment="1">
      <alignment horizontal="center"/>
    </xf>
    <xf numFmtId="0" fontId="1" fillId="8" borderId="5" xfId="1" applyFont="1" applyFill="1" applyBorder="1" applyAlignment="1">
      <alignment horizontal="center"/>
    </xf>
    <xf numFmtId="0" fontId="1" fillId="8" borderId="6" xfId="1" applyFont="1" applyFill="1" applyBorder="1" applyAlignment="1">
      <alignment horizontal="center"/>
    </xf>
    <xf numFmtId="0" fontId="1" fillId="9" borderId="4" xfId="1" applyFont="1" applyFill="1" applyBorder="1" applyAlignment="1">
      <alignment horizontal="center"/>
    </xf>
    <xf numFmtId="0" fontId="1" fillId="9" borderId="5" xfId="1" applyFont="1" applyFill="1" applyBorder="1" applyAlignment="1">
      <alignment horizontal="center"/>
    </xf>
    <xf numFmtId="0" fontId="1" fillId="9" borderId="7" xfId="1" applyFont="1" applyFill="1" applyBorder="1" applyAlignment="1">
      <alignment horizontal="center"/>
    </xf>
    <xf numFmtId="0" fontId="1" fillId="10" borderId="4" xfId="1" applyFont="1" applyFill="1" applyBorder="1" applyAlignment="1">
      <alignment horizontal="center"/>
    </xf>
    <xf numFmtId="0" fontId="1" fillId="10" borderId="5" xfId="1" applyFont="1" applyFill="1" applyBorder="1" applyAlignment="1">
      <alignment horizontal="center"/>
    </xf>
    <xf numFmtId="0" fontId="1" fillId="10" borderId="7" xfId="1" applyFont="1" applyFill="1" applyBorder="1" applyAlignment="1">
      <alignment horizontal="center"/>
    </xf>
    <xf numFmtId="0" fontId="1" fillId="11" borderId="4" xfId="1" applyFont="1" applyFill="1" applyBorder="1" applyAlignment="1">
      <alignment horizontal="center"/>
    </xf>
    <xf numFmtId="0" fontId="1" fillId="11" borderId="5" xfId="1" applyFont="1" applyFill="1" applyBorder="1" applyAlignment="1">
      <alignment horizontal="center"/>
    </xf>
    <xf numFmtId="0" fontId="1" fillId="11" borderId="7" xfId="1" applyFont="1" applyFill="1" applyBorder="1" applyAlignment="1">
      <alignment horizontal="center"/>
    </xf>
    <xf numFmtId="0" fontId="1" fillId="12" borderId="4" xfId="1" applyFont="1" applyFill="1" applyBorder="1" applyAlignment="1">
      <alignment horizontal="center"/>
    </xf>
    <xf numFmtId="0" fontId="1" fillId="12" borderId="5" xfId="1" applyFont="1" applyFill="1" applyBorder="1" applyAlignment="1">
      <alignment horizontal="center"/>
    </xf>
    <xf numFmtId="0" fontId="1" fillId="12" borderId="7" xfId="1" applyFont="1" applyFill="1" applyBorder="1" applyAlignment="1">
      <alignment horizontal="center"/>
    </xf>
    <xf numFmtId="0" fontId="1" fillId="13" borderId="4" xfId="1" applyFont="1" applyFill="1" applyBorder="1" applyAlignment="1">
      <alignment horizontal="center"/>
    </xf>
    <xf numFmtId="0" fontId="1" fillId="13" borderId="5" xfId="1" applyFont="1" applyFill="1" applyBorder="1" applyAlignment="1">
      <alignment horizontal="center"/>
    </xf>
    <xf numFmtId="0" fontId="1" fillId="13" borderId="7" xfId="1" applyFont="1" applyFill="1" applyBorder="1" applyAlignment="1">
      <alignment horizontal="center"/>
    </xf>
    <xf numFmtId="20" fontId="4" fillId="14" borderId="8" xfId="1" applyNumberFormat="1" applyFont="1" applyFill="1" applyBorder="1"/>
    <xf numFmtId="165" fontId="4" fillId="15" borderId="9" xfId="1" applyNumberFormat="1" applyFont="1" applyFill="1" applyBorder="1"/>
    <xf numFmtId="165" fontId="4" fillId="15" borderId="10" xfId="1" applyNumberFormat="1" applyFont="1" applyFill="1" applyBorder="1"/>
    <xf numFmtId="165" fontId="4" fillId="15" borderId="11" xfId="1" applyNumberFormat="1" applyFont="1" applyFill="1" applyBorder="1"/>
    <xf numFmtId="165" fontId="4" fillId="16" borderId="9" xfId="1" applyNumberFormat="1" applyFont="1" applyFill="1" applyBorder="1"/>
    <xf numFmtId="165" fontId="4" fillId="16" borderId="10" xfId="1" applyNumberFormat="1" applyFont="1" applyFill="1" applyBorder="1"/>
    <xf numFmtId="165" fontId="4" fillId="16" borderId="11" xfId="1" applyNumberFormat="1" applyFont="1" applyFill="1" applyBorder="1"/>
    <xf numFmtId="165" fontId="4" fillId="14" borderId="9" xfId="1" applyNumberFormat="1" applyFont="1" applyFill="1" applyBorder="1"/>
    <xf numFmtId="165" fontId="4" fillId="14" borderId="10" xfId="1" applyNumberFormat="1" applyFont="1" applyFill="1" applyBorder="1"/>
    <xf numFmtId="165" fontId="4" fillId="14" borderId="11" xfId="1" applyNumberFormat="1" applyFont="1" applyFill="1" applyBorder="1"/>
    <xf numFmtId="165" fontId="4" fillId="17" borderId="9" xfId="1" applyNumberFormat="1" applyFont="1" applyFill="1" applyBorder="1"/>
    <xf numFmtId="165" fontId="4" fillId="17" borderId="10" xfId="1" applyNumberFormat="1" applyFont="1" applyFill="1" applyBorder="1"/>
    <xf numFmtId="165" fontId="4" fillId="17" borderId="11" xfId="1" applyNumberFormat="1" applyFont="1" applyFill="1" applyBorder="1"/>
    <xf numFmtId="165" fontId="4" fillId="18" borderId="9" xfId="1" applyNumberFormat="1" applyFont="1" applyFill="1" applyBorder="1"/>
    <xf numFmtId="165" fontId="4" fillId="18" borderId="10" xfId="1" applyNumberFormat="1" applyFont="1" applyFill="1" applyBorder="1"/>
    <xf numFmtId="165" fontId="4" fillId="18" borderId="11" xfId="1" applyNumberFormat="1" applyFont="1" applyFill="1" applyBorder="1"/>
    <xf numFmtId="165" fontId="4" fillId="19" borderId="9" xfId="1" applyNumberFormat="1" applyFont="1" applyFill="1" applyBorder="1"/>
    <xf numFmtId="165" fontId="4" fillId="19" borderId="10" xfId="1" applyNumberFormat="1" applyFont="1" applyFill="1" applyBorder="1"/>
    <xf numFmtId="165" fontId="4" fillId="19" borderId="11" xfId="1" applyNumberFormat="1" applyFont="1" applyFill="1" applyBorder="1"/>
    <xf numFmtId="165" fontId="4" fillId="19" borderId="12" xfId="1" applyNumberFormat="1" applyFont="1" applyFill="1" applyBorder="1"/>
    <xf numFmtId="20" fontId="4" fillId="14" borderId="13" xfId="1" applyNumberFormat="1" applyFont="1" applyFill="1" applyBorder="1"/>
    <xf numFmtId="20" fontId="4" fillId="14" borderId="14" xfId="1" applyNumberFormat="1" applyFont="1" applyFill="1" applyBorder="1"/>
    <xf numFmtId="165" fontId="3" fillId="0" borderId="0" xfId="1" applyNumberFormat="1"/>
    <xf numFmtId="0" fontId="0" fillId="0" borderId="10" xfId="0" applyBorder="1"/>
    <xf numFmtId="0" fontId="0" fillId="20" borderId="10" xfId="0" applyFill="1" applyBorder="1"/>
    <xf numFmtId="0" fontId="6" fillId="0" borderId="0" xfId="0" applyFont="1"/>
    <xf numFmtId="0" fontId="7" fillId="0" borderId="0" xfId="2"/>
    <xf numFmtId="4" fontId="7" fillId="0" borderId="0" xfId="2" applyNumberFormat="1"/>
    <xf numFmtId="9" fontId="0" fillId="0" borderId="10" xfId="0" applyNumberFormat="1" applyBorder="1"/>
    <xf numFmtId="0" fontId="8" fillId="0" borderId="0" xfId="0" applyFont="1"/>
    <xf numFmtId="0" fontId="0" fillId="0" borderId="0" xfId="0" applyBorder="1"/>
    <xf numFmtId="14" fontId="0" fillId="0" borderId="0" xfId="0" applyNumberFormat="1" applyBorder="1"/>
    <xf numFmtId="2" fontId="0" fillId="0" borderId="0" xfId="0" applyNumberFormat="1" applyBorder="1"/>
    <xf numFmtId="4" fontId="0" fillId="0" borderId="0" xfId="0" applyNumberFormat="1" applyBorder="1"/>
    <xf numFmtId="9" fontId="0" fillId="0" borderId="0" xfId="0" applyNumberFormat="1" applyBorder="1"/>
    <xf numFmtId="8" fontId="0" fillId="0" borderId="0" xfId="0" applyNumberFormat="1" applyBorder="1"/>
    <xf numFmtId="0" fontId="0" fillId="0" borderId="10" xfId="0" applyFill="1" applyBorder="1"/>
    <xf numFmtId="14" fontId="7" fillId="0" borderId="0" xfId="2" applyNumberFormat="1"/>
    <xf numFmtId="0" fontId="0" fillId="0" borderId="10" xfId="0" applyNumberFormat="1" applyBorder="1"/>
    <xf numFmtId="0" fontId="0" fillId="0" borderId="10" xfId="0" applyBorder="1" applyAlignment="1">
      <alignment wrapText="1"/>
    </xf>
    <xf numFmtId="166" fontId="0" fillId="0" borderId="10" xfId="0" applyNumberFormat="1" applyBorder="1"/>
    <xf numFmtId="0" fontId="0" fillId="0" borderId="0" xfId="0" applyAlignment="1">
      <alignment horizontal="center" wrapText="1"/>
    </xf>
    <xf numFmtId="9" fontId="0" fillId="0" borderId="10" xfId="3" applyFont="1" applyBorder="1"/>
    <xf numFmtId="0" fontId="2" fillId="0" borderId="10" xfId="0" applyFont="1" applyFill="1" applyBorder="1"/>
    <xf numFmtId="0" fontId="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1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22" xfId="0" applyBorder="1" applyAlignment="1">
      <alignment vertical="top" wrapText="1"/>
    </xf>
    <xf numFmtId="0" fontId="0" fillId="0" borderId="22" xfId="0" applyBorder="1"/>
    <xf numFmtId="0" fontId="0" fillId="0" borderId="21" xfId="0" applyBorder="1" applyAlignment="1">
      <alignment wrapText="1"/>
    </xf>
    <xf numFmtId="0" fontId="0" fillId="0" borderId="10" xfId="0" applyBorder="1" applyAlignment="1">
      <alignment horizontal="right"/>
    </xf>
    <xf numFmtId="0" fontId="12" fillId="0" borderId="0" xfId="4"/>
    <xf numFmtId="0" fontId="13" fillId="15" borderId="0" xfId="1" applyFont="1" applyFill="1" applyAlignment="1">
      <alignment horizontal="center"/>
    </xf>
    <xf numFmtId="11" fontId="13" fillId="15" borderId="0" xfId="1" applyNumberFormat="1" applyFont="1" applyFill="1"/>
    <xf numFmtId="0" fontId="13" fillId="15" borderId="0" xfId="1" applyFont="1" applyFill="1"/>
    <xf numFmtId="0" fontId="0" fillId="0" borderId="0" xfId="0" applyAlignment="1">
      <alignment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wrapText="1"/>
    </xf>
    <xf numFmtId="0" fontId="10" fillId="0" borderId="0" xfId="1" applyFont="1" applyAlignment="1">
      <alignment horizontal="center" vertical="center" wrapText="1"/>
    </xf>
    <xf numFmtId="0" fontId="11" fillId="15" borderId="0" xfId="1" applyFont="1" applyFill="1" applyAlignment="1">
      <alignment horizontal="center" vertical="center"/>
    </xf>
  </cellXfs>
  <cellStyles count="5">
    <cellStyle name="Prozent" xfId="3" builtinId="5"/>
    <cellStyle name="Standard" xfId="0" builtinId="0"/>
    <cellStyle name="Standard 2" xfId="1" xr:uid="{84C19130-CC92-4E6F-9C09-7F17AC8E6F8C}"/>
    <cellStyle name="Standard 3" xfId="2" xr:uid="{FC62ED9B-A569-4358-AAD0-E1E7426E6517}"/>
    <cellStyle name="Standard 4" xfId="4" xr:uid="{9EEF545F-CB48-40B0-92EC-1A09CEDB065C}"/>
  </cellStyles>
  <dxfs count="41"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2" formatCode="0.00"/>
      <border diagonalUp="0" diagonalDown="0" outline="0">
        <left/>
        <right/>
        <top/>
        <bottom/>
      </border>
    </dxf>
    <dxf>
      <numFmt numFmtId="19" formatCode="dd/mm/yyyy"/>
      <border diagonalUp="0" diagonalDown="0" outline="0">
        <left/>
        <right/>
        <top/>
        <bottom/>
      </border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3" formatCode="0%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10</xdr:row>
      <xdr:rowOff>133350</xdr:rowOff>
    </xdr:from>
    <xdr:to>
      <xdr:col>8</xdr:col>
      <xdr:colOff>438151</xdr:colOff>
      <xdr:row>19</xdr:row>
      <xdr:rowOff>76200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23A16741-5337-48E5-BF74-6D4D044B674B}"/>
            </a:ext>
          </a:extLst>
        </xdr:cNvPr>
        <xdr:cNvSpPr txBox="1"/>
      </xdr:nvSpPr>
      <xdr:spPr>
        <a:xfrm>
          <a:off x="904875" y="1816100"/>
          <a:ext cx="5629276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Zum Ausrollen</a:t>
          </a:r>
          <a:r>
            <a:rPr lang="de-DE" sz="1100" baseline="0"/>
            <a:t> müssen d</a:t>
          </a:r>
          <a:r>
            <a:rPr lang="de-DE" sz="1100"/>
            <a:t>ie</a:t>
          </a:r>
          <a:r>
            <a:rPr lang="de-DE" sz="1100" baseline="0"/>
            <a:t> Profile H25, P25 und S25 mit der Dynamisierungsfunktion (analog zum VDEW H0) verrechnet werden!</a:t>
          </a:r>
        </a:p>
        <a:p>
          <a:r>
            <a:rPr lang="de-DE" sz="1100" baseline="0"/>
            <a:t>Die Koeffizienten der Dynamisierungsfunktion sind identisch zu denen des VDEW H0.</a:t>
          </a:r>
        </a:p>
        <a:p>
          <a:endParaRPr lang="de-DE" sz="1100" baseline="0"/>
        </a:p>
        <a:p>
          <a:r>
            <a:rPr lang="de-DE" sz="1100" baseline="0"/>
            <a:t>Die Profile G25 und L25 sind </a:t>
          </a:r>
          <a:r>
            <a:rPr lang="de-DE" sz="1100" b="1" u="sng" baseline="0"/>
            <a:t>nicht</a:t>
          </a:r>
          <a:r>
            <a:rPr lang="de-DE" sz="1100" baseline="0"/>
            <a:t> mit der 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Dynamisierungsfunktion zu verrechnen.</a:t>
          </a:r>
          <a:endParaRPr lang="de-DE" sz="1100"/>
        </a:p>
      </xdr:txBody>
    </xdr:sp>
    <xdr:clientData/>
  </xdr:twoCellAnchor>
  <xdr:twoCellAnchor editAs="oneCell">
    <xdr:from>
      <xdr:col>3</xdr:col>
      <xdr:colOff>161925</xdr:colOff>
      <xdr:row>2</xdr:row>
      <xdr:rowOff>31750</xdr:rowOff>
    </xdr:from>
    <xdr:to>
      <xdr:col>8</xdr:col>
      <xdr:colOff>600076</xdr:colOff>
      <xdr:row>8</xdr:row>
      <xdr:rowOff>108836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9D5D153-1993-4FE7-A8D7-C97205AE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444500"/>
          <a:ext cx="4248151" cy="1029586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F93616-78AC-4853-90BF-0BA640C3D962}" name="Tabelle2" displayName="Tabelle2" ref="A1:D11" totalsRowShown="0" headerRowDxfId="40" headerRowBorderDxfId="39" tableBorderDxfId="38" totalsRowBorderDxfId="37">
  <autoFilter ref="A1:D11" xr:uid="{38F93616-78AC-4853-90BF-0BA640C3D962}"/>
  <tableColumns count="4">
    <tableColumn id="1" xr3:uid="{EA00953D-AA2F-4C83-B58D-E0B221101EDE}" name="Sheet" dataDxfId="36"/>
    <tableColumn id="2" xr3:uid="{01180C61-D420-4A58-BE64-BD5C7C92635E}" name="Typ" dataDxfId="35"/>
    <tableColumn id="3" xr3:uid="{EB1EA7C4-32C9-41B9-98E1-BBE27B789477}" name="Beschreibung" dataDxfId="34"/>
    <tableColumn id="4" xr3:uid="{FA4212F1-4EA9-4137-BC87-8340CD28FE08}" name="Quelle" dataDxfId="3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64AE6-BE3F-403A-BF6E-2F2A81D1B248}" name="Tabelle1" displayName="Tabelle1" ref="A1:W367" totalsRowCount="1">
  <autoFilter ref="A1:W366" xr:uid="{94164AE6-BE3F-403A-BF6E-2F2A81D1B248}"/>
  <tableColumns count="23">
    <tableColumn id="1" xr3:uid="{41DFBBCE-5596-4244-9DCF-0F09874C80F8}" name="Datum" dataDxfId="32" totalsRowDxfId="22"/>
    <tableColumn id="2" xr3:uid="{FD96888F-7213-433D-9DEE-6EE939657050}" name="Wochentag" dataDxfId="31" totalsRowDxfId="21">
      <calculatedColumnFormula>TEXT(A2,"TTT")</calculatedColumnFormula>
    </tableColumn>
    <tableColumn id="3" xr3:uid="{0C489E61-0D09-4AC0-8599-1F0FEE93701C}" name="Monat" totalsRowDxfId="20">
      <calculatedColumnFormula>MONTH(A2)</calculatedColumnFormula>
    </tableColumn>
    <tableColumn id="4" xr3:uid="{468F4681-EB74-4B22-9174-6E96CF1A1483}" name="Tag_des_Jahres" totalsRowDxfId="19"/>
    <tableColumn id="5" xr3:uid="{71AD8498-CBBB-46EF-A697-31110E179900}" name="Label (WT/FT/SA)" totalsRowDxfId="18">
      <calculatedColumnFormula>IF(OR(COUNTIF(Feiertage_Hessen_2025!$C$4:$C$13,A2)&gt;0,WEEKDAY(A2,2)=7),"FT",IF(WEEKDAY(A2,2)=6,"SA","WT"))</calculatedColumnFormula>
    </tableColumn>
    <tableColumn id="6" xr3:uid="{A34C1A12-E088-48D3-8B5F-EB8A1812BBEF}" name="Profilwert (kWh)" totalsRowDxfId="17">
      <calculatedColumnFormula>INDEX('BDEW-H25 Tagessummen'!$C$4:$C$39, MATCH(C2&amp;"_"&amp;E2, 'BDEW-H25 Tagessummen'!$D$4:$D$39, 0))</calculatedColumnFormula>
    </tableColumn>
    <tableColumn id="23" xr3:uid="{9288AF69-38C8-45F9-BE68-9757C12E89F2}" name="Dynamisierungsfaktor" dataDxfId="30" totalsRowDxfId="16">
      <calculatedColumnFormula>-3.92*10^-10*D2^4+3.2*10^-7*D2^3-7.02*10^-5*D2^2+2.1*10^-3*D2+1.24</calculatedColumnFormula>
    </tableColumn>
    <tableColumn id="22" xr3:uid="{050FE1BC-5A84-4305-9E94-631A4274B312}" name="Profilwert Dynamisiert (kWh)" dataDxfId="29" totalsRowDxfId="15">
      <calculatedColumnFormula>Tabelle1[[#This Row],[Profilwert (kWh)]]*Tabelle1[[#This Row],[Dynamisierungsfaktor]]</calculatedColumnFormula>
    </tableColumn>
    <tableColumn id="7" xr3:uid="{6E7C59DA-76E8-49BE-BDC3-61D614F21BDF}" name="Tagesverbrauch (MWh)" dataDxfId="28" totalsRowDxfId="14">
      <calculatedColumnFormula>Annahmen!$B$5*(H2/SUM($H$2:$H$366))</calculatedColumnFormula>
    </tableColumn>
    <tableColumn id="8" xr3:uid="{B48B89BC-B3F9-46AE-B9B3-06BD5132DAB1}" name="Tariff (€/MWh)" totalsRowDxfId="13">
      <calculatedColumnFormula>Annahmen!$B$6</calculatedColumnFormula>
    </tableColumn>
    <tableColumn id="9" xr3:uid="{F772641C-25FC-4C6D-ACF5-08728DA94D80}" name="Erlöse (€)" totalsRowFunction="custom" totalsRowDxfId="12">
      <calculatedColumnFormula>I2*J2</calculatedColumnFormula>
      <totalsRowFormula>SUM(K2:K366)</totalsRowFormula>
    </tableColumn>
    <tableColumn id="10" xr3:uid="{304D489A-B2D7-49E9-B069-DEDAE1BD9717}" name="Volumen_fix" totalsRowFunction="custom" totalsRowDxfId="11">
      <calculatedColumnFormula>I2*Annahmen!$B$7</calculatedColumnFormula>
      <totalsRowFormula>SUM(L2:L366)</totalsRowFormula>
    </tableColumn>
    <tableColumn id="11" xr3:uid="{481BD232-00F8-44C7-83E7-FC2110A2A60E}" name="Volumen_indexiert" totalsRowFunction="custom" totalsRowDxfId="10">
      <calculatedColumnFormula>I2*(1-Annahmen!$B$7)</calculatedColumnFormula>
      <totalsRowFormula>SUM(M2:M366)</totalsRowFormula>
    </tableColumn>
    <tableColumn id="12" xr3:uid="{10CD19FB-BDB6-4D9C-B5FD-AF989FA41C17}" name="Beschaffungspreis_fix" totalsRowDxfId="9">
      <calculatedColumnFormula>Annahmen!$B$8</calculatedColumnFormula>
    </tableColumn>
    <tableColumn id="13" xr3:uid="{6777A532-B9E9-4449-98E0-8A38ABBA4750}" name="Beschaffungspreis_indexiert" dataDxfId="27" totalsRowDxfId="8">
      <calculatedColumnFormula>INDEX(Quelle_SMARD_Preise_2025!$C$11:$C$375, MATCH($A2,Quelle_SMARD_Preise_2025!$A$11:$A$375, 0))</calculatedColumnFormula>
    </tableColumn>
    <tableColumn id="14" xr3:uid="{C287AD49-B504-460F-AB7F-760594AB143F}" name="Beschaffungskosten_fix" totalsRowFunction="custom" totalsRowDxfId="7">
      <calculatedColumnFormula>L2*N2</calculatedColumnFormula>
      <totalsRowFormula>SUM(P2:P366)</totalsRowFormula>
    </tableColumn>
    <tableColumn id="15" xr3:uid="{9E64DD92-8A31-44C0-BC3F-338158B635D9}" name="Beschaffungskosten_indexiert" totalsRowFunction="custom" totalsRowDxfId="6">
      <calculatedColumnFormula>M2*O2</calculatedColumnFormula>
      <totalsRowFormula>SUM(Q2:Q366)</totalsRowFormula>
    </tableColumn>
    <tableColumn id="16" xr3:uid="{264AAF26-61C9-46D5-A5E9-E8D0417D7A5B}" name="Profil Abweichung" dataDxfId="26" totalsRowDxfId="5">
      <calculatedColumnFormula>Annahmen!$B$9</calculatedColumnFormula>
    </tableColumn>
    <tableColumn id="17" xr3:uid="{4927759C-1A30-4306-8507-F41B954AC902}" name="Volumen_Abweichung" totalsRowDxfId="4">
      <calculatedColumnFormula>R2*I2</calculatedColumnFormula>
    </tableColumn>
    <tableColumn id="18" xr3:uid="{9805235B-FA0D-4DE3-AC84-9739AD0537A0}" name="Stress_Tag" totalsRowDxfId="3">
      <calculatedColumnFormula>IF(OR(I2&gt;=PERCENTILE($I$2:$I$366,0.95),I2&lt;=PERCENTILE($I$2:$I$366,0.05)),1,0)</calculatedColumnFormula>
    </tableColumn>
    <tableColumn id="19" xr3:uid="{3DF30D9A-140C-4198-9B4D-95CE4CC720C3}" name="reBAP_Preis (€/MWh)" dataDxfId="25" totalsRowDxfId="2">
      <calculatedColumnFormula>$O2+Annahmen!$B$10+(T2*Annahmen!$B$11)</calculatedColumnFormula>
    </tableColumn>
    <tableColumn id="20" xr3:uid="{8CAC6620-2797-4BA0-B08E-F45EA5567D1C}" name="Kosten_Ausgleichsenerge" totalsRowFunction="custom" dataDxfId="24" totalsRowDxfId="1">
      <calculatedColumnFormula>ABS(S2)*U2</calculatedColumnFormula>
      <totalsRowFormula>SUM(V2:V366)</totalsRowFormula>
    </tableColumn>
    <tableColumn id="21" xr3:uid="{D726BFF6-9766-41DC-825A-A8D29EFD3435}" name="Deckungsbeitrag" totalsRowFunction="custom" dataDxfId="23" totalsRowDxfId="0">
      <calculatedColumnFormula>K2-P2-Q2-V2</calculatedColumnFormula>
      <totalsRowFormula>SUM(W2:W366)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199F-5FC8-47C4-BDB0-5A49697CF573}">
  <sheetPr>
    <tabColor rgb="FF92D050"/>
  </sheetPr>
  <dimension ref="A1:D11"/>
  <sheetViews>
    <sheetView workbookViewId="0">
      <selection activeCell="C9" sqref="C9"/>
    </sheetView>
  </sheetViews>
  <sheetFormatPr baseColWidth="10" defaultRowHeight="14.5" x14ac:dyDescent="0.35"/>
  <cols>
    <col min="1" max="1" width="24.90625" bestFit="1" customWidth="1"/>
    <col min="2" max="2" width="24.08984375" customWidth="1"/>
    <col min="3" max="3" width="40.08984375" bestFit="1" customWidth="1"/>
    <col min="4" max="4" width="70.81640625" customWidth="1"/>
  </cols>
  <sheetData>
    <row r="1" spans="1:4" x14ac:dyDescent="0.35">
      <c r="A1" s="89" t="s">
        <v>605</v>
      </c>
      <c r="B1" s="90" t="s">
        <v>606</v>
      </c>
      <c r="C1" s="90" t="s">
        <v>607</v>
      </c>
      <c r="D1" s="91" t="s">
        <v>618</v>
      </c>
    </row>
    <row r="2" spans="1:4" x14ac:dyDescent="0.35">
      <c r="A2" s="86" t="s">
        <v>630</v>
      </c>
      <c r="B2" s="62" t="s">
        <v>631</v>
      </c>
      <c r="C2" s="62" t="s">
        <v>632</v>
      </c>
      <c r="D2" s="88"/>
    </row>
    <row r="3" spans="1:4" x14ac:dyDescent="0.35">
      <c r="A3" s="86" t="s">
        <v>624</v>
      </c>
      <c r="B3" s="62" t="s">
        <v>625</v>
      </c>
      <c r="C3" s="62" t="s">
        <v>626</v>
      </c>
      <c r="D3" s="88"/>
    </row>
    <row r="4" spans="1:4" x14ac:dyDescent="0.35">
      <c r="A4" s="86" t="s">
        <v>608</v>
      </c>
      <c r="B4" s="62" t="s">
        <v>609</v>
      </c>
      <c r="C4" s="62" t="s">
        <v>611</v>
      </c>
      <c r="D4" s="88"/>
    </row>
    <row r="5" spans="1:4" x14ac:dyDescent="0.35">
      <c r="A5" s="86" t="s">
        <v>619</v>
      </c>
      <c r="B5" s="62" t="s">
        <v>609</v>
      </c>
      <c r="C5" s="62" t="s">
        <v>612</v>
      </c>
      <c r="D5" s="88"/>
    </row>
    <row r="6" spans="1:4" x14ac:dyDescent="0.35">
      <c r="A6" s="86" t="s">
        <v>595</v>
      </c>
      <c r="B6" s="62" t="s">
        <v>609</v>
      </c>
      <c r="C6" s="62" t="s">
        <v>613</v>
      </c>
      <c r="D6" s="88"/>
    </row>
    <row r="7" spans="1:4" ht="29" x14ac:dyDescent="0.35">
      <c r="A7" s="87" t="s">
        <v>620</v>
      </c>
      <c r="B7" s="78" t="s">
        <v>610</v>
      </c>
      <c r="C7" s="78" t="s">
        <v>614</v>
      </c>
      <c r="D7" s="88"/>
    </row>
    <row r="8" spans="1:4" x14ac:dyDescent="0.35">
      <c r="A8" s="86" t="s">
        <v>621</v>
      </c>
      <c r="B8" s="62" t="s">
        <v>623</v>
      </c>
      <c r="C8" s="62" t="s">
        <v>615</v>
      </c>
      <c r="D8" s="88" t="s">
        <v>617</v>
      </c>
    </row>
    <row r="9" spans="1:4" ht="43.5" x14ac:dyDescent="0.35">
      <c r="A9" s="86" t="s">
        <v>643</v>
      </c>
      <c r="B9" t="s">
        <v>623</v>
      </c>
      <c r="C9" s="102" t="s">
        <v>644</v>
      </c>
      <c r="D9" s="88" t="s">
        <v>617</v>
      </c>
    </row>
    <row r="10" spans="1:4" ht="72.5" x14ac:dyDescent="0.35">
      <c r="A10" s="96" t="s">
        <v>622</v>
      </c>
      <c r="B10" s="93" t="s">
        <v>623</v>
      </c>
      <c r="C10" s="93" t="s">
        <v>616</v>
      </c>
      <c r="D10" s="94" t="s">
        <v>639</v>
      </c>
    </row>
    <row r="11" spans="1:4" x14ac:dyDescent="0.35">
      <c r="A11" s="92" t="s">
        <v>627</v>
      </c>
      <c r="B11" s="93" t="s">
        <v>623</v>
      </c>
      <c r="C11" s="93" t="s">
        <v>629</v>
      </c>
      <c r="D11" s="95" t="s">
        <v>628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636A-F043-4A79-8ED9-E54C285AAA11}">
  <sheetPr>
    <tabColor rgb="FF92D050"/>
  </sheetPr>
  <dimension ref="A1:B8"/>
  <sheetViews>
    <sheetView workbookViewId="0">
      <selection activeCell="C17" sqref="C17"/>
    </sheetView>
  </sheetViews>
  <sheetFormatPr baseColWidth="10" defaultRowHeight="14.5" x14ac:dyDescent="0.35"/>
  <cols>
    <col min="1" max="1" width="33.1796875" customWidth="1"/>
    <col min="2" max="2" width="11.26953125" bestFit="1" customWidth="1"/>
  </cols>
  <sheetData>
    <row r="1" spans="1:2" ht="18.5" x14ac:dyDescent="0.45">
      <c r="A1" s="64" t="s">
        <v>592</v>
      </c>
    </row>
    <row r="3" spans="1:2" x14ac:dyDescent="0.35">
      <c r="A3" s="62" t="s">
        <v>594</v>
      </c>
      <c r="B3" s="79">
        <f>Tabelle1[[#Totals],[Erlöse (€)]]</f>
        <v>649999.99999999965</v>
      </c>
    </row>
    <row r="4" spans="1:2" x14ac:dyDescent="0.35">
      <c r="A4" s="62" t="s">
        <v>179</v>
      </c>
      <c r="B4" s="79">
        <f>Tabelle1[[#Totals],[Beschaffungskosten_fix]]</f>
        <v>273000.00000000017</v>
      </c>
    </row>
    <row r="5" spans="1:2" x14ac:dyDescent="0.35">
      <c r="A5" s="62" t="s">
        <v>573</v>
      </c>
      <c r="B5" s="79">
        <f>Tabelle1[[#Totals],[Beschaffungskosten_indexiert]]</f>
        <v>134781.63240941483</v>
      </c>
    </row>
    <row r="6" spans="1:2" ht="29" x14ac:dyDescent="0.35">
      <c r="A6" s="78" t="s">
        <v>593</v>
      </c>
      <c r="B6" s="79">
        <f>Tabelle1[[#Totals],[Kosten_Ausgleichsenerge]]</f>
        <v>27860.102940153713</v>
      </c>
    </row>
    <row r="7" spans="1:2" x14ac:dyDescent="0.35">
      <c r="A7" s="62" t="s">
        <v>603</v>
      </c>
      <c r="B7" s="79">
        <f>Tabelle1[[#Totals],[Deckungsbeitrag]]</f>
        <v>214358.26465043137</v>
      </c>
    </row>
    <row r="8" spans="1:2" x14ac:dyDescent="0.35">
      <c r="A8" s="62" t="s">
        <v>604</v>
      </c>
      <c r="B8" s="81">
        <f xml:space="preserve"> B7/B3</f>
        <v>0.32978194561604846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7AD2-E339-4B10-9730-F92906946F1F}">
  <sheetPr>
    <tabColor rgb="FF92D050"/>
  </sheetPr>
  <dimension ref="A1:E11"/>
  <sheetViews>
    <sheetView workbookViewId="0">
      <selection activeCell="D16" sqref="D16"/>
    </sheetView>
  </sheetViews>
  <sheetFormatPr baseColWidth="10" defaultRowHeight="14.5" x14ac:dyDescent="0.35"/>
  <cols>
    <col min="1" max="1" width="21.453125" bestFit="1" customWidth="1"/>
    <col min="4" max="4" width="81" bestFit="1" customWidth="1"/>
  </cols>
  <sheetData>
    <row r="1" spans="1:5" ht="16" x14ac:dyDescent="0.4">
      <c r="A1" s="68" t="s">
        <v>574</v>
      </c>
    </row>
    <row r="3" spans="1:5" x14ac:dyDescent="0.35">
      <c r="A3" s="62"/>
      <c r="B3" s="62"/>
      <c r="C3" s="62" t="s">
        <v>168</v>
      </c>
      <c r="D3" s="62" t="s">
        <v>585</v>
      </c>
      <c r="E3" s="69"/>
    </row>
    <row r="4" spans="1:5" x14ac:dyDescent="0.35">
      <c r="A4" s="62" t="s">
        <v>166</v>
      </c>
      <c r="B4" s="97" t="s">
        <v>4</v>
      </c>
      <c r="C4" s="62"/>
      <c r="D4" s="62" t="s">
        <v>636</v>
      </c>
      <c r="E4" s="69"/>
    </row>
    <row r="5" spans="1:5" x14ac:dyDescent="0.35">
      <c r="A5" s="62" t="s">
        <v>167</v>
      </c>
      <c r="B5" s="62">
        <v>5000</v>
      </c>
      <c r="C5" s="62" t="s">
        <v>169</v>
      </c>
      <c r="D5" s="62" t="s">
        <v>586</v>
      </c>
      <c r="E5" s="69"/>
    </row>
    <row r="6" spans="1:5" x14ac:dyDescent="0.35">
      <c r="A6" s="62" t="s">
        <v>634</v>
      </c>
      <c r="B6" s="62">
        <v>130</v>
      </c>
      <c r="C6" s="62" t="s">
        <v>633</v>
      </c>
      <c r="D6" s="62" t="s">
        <v>590</v>
      </c>
      <c r="E6" s="69"/>
    </row>
    <row r="7" spans="1:5" x14ac:dyDescent="0.35">
      <c r="A7" s="62" t="s">
        <v>178</v>
      </c>
      <c r="B7" s="67">
        <v>0.7</v>
      </c>
      <c r="C7" s="62"/>
      <c r="D7" s="62" t="s">
        <v>587</v>
      </c>
      <c r="E7" s="69"/>
    </row>
    <row r="8" spans="1:5" x14ac:dyDescent="0.35">
      <c r="A8" s="62" t="s">
        <v>635</v>
      </c>
      <c r="B8" s="62">
        <v>78</v>
      </c>
      <c r="C8" s="62" t="s">
        <v>633</v>
      </c>
      <c r="D8" s="62" t="s">
        <v>588</v>
      </c>
      <c r="E8" s="69"/>
    </row>
    <row r="9" spans="1:5" x14ac:dyDescent="0.35">
      <c r="A9" s="62" t="s">
        <v>577</v>
      </c>
      <c r="B9" s="67">
        <v>0.05</v>
      </c>
      <c r="C9" s="62"/>
      <c r="D9" s="62" t="s">
        <v>637</v>
      </c>
      <c r="E9" s="69"/>
    </row>
    <row r="10" spans="1:5" x14ac:dyDescent="0.35">
      <c r="A10" s="75" t="s">
        <v>579</v>
      </c>
      <c r="B10" s="77">
        <v>8</v>
      </c>
      <c r="C10" s="62" t="s">
        <v>633</v>
      </c>
      <c r="D10" s="62" t="s">
        <v>589</v>
      </c>
      <c r="E10" s="69"/>
    </row>
    <row r="11" spans="1:5" ht="29" x14ac:dyDescent="0.35">
      <c r="A11" s="75" t="s">
        <v>580</v>
      </c>
      <c r="B11" s="77">
        <v>120</v>
      </c>
      <c r="C11" s="62" t="s">
        <v>633</v>
      </c>
      <c r="D11" s="78" t="s">
        <v>638</v>
      </c>
      <c r="E11" s="69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A32F-FECA-4808-BE3C-AC339454D731}">
  <sheetPr>
    <tabColor rgb="FF92D050"/>
  </sheetPr>
  <dimension ref="A1:Y730"/>
  <sheetViews>
    <sheetView tabSelected="1" topLeftCell="E1" workbookViewId="0">
      <selection activeCell="H2" sqref="H2"/>
    </sheetView>
  </sheetViews>
  <sheetFormatPr baseColWidth="10" defaultRowHeight="14.5" x14ac:dyDescent="0.35"/>
  <cols>
    <col min="1" max="1" width="16.6328125" style="69" customWidth="1"/>
    <col min="2" max="2" width="15.36328125" style="69" customWidth="1"/>
    <col min="3" max="3" width="14.26953125" style="69" bestFit="1" customWidth="1"/>
    <col min="4" max="4" width="17" style="69" customWidth="1"/>
    <col min="5" max="5" width="18.453125" style="69" customWidth="1"/>
    <col min="6" max="6" width="31.90625" style="69" customWidth="1"/>
    <col min="7" max="7" width="21.6328125" style="69" bestFit="1" customWidth="1"/>
    <col min="8" max="8" width="27.26953125" style="69" bestFit="1" customWidth="1"/>
    <col min="9" max="9" width="21.81640625" style="69" customWidth="1"/>
    <col min="10" max="10" width="14.7265625" style="69" customWidth="1"/>
    <col min="11" max="11" width="10.90625" style="69"/>
    <col min="12" max="12" width="13.1796875" style="69" customWidth="1"/>
    <col min="13" max="13" width="18.54296875" style="69" customWidth="1"/>
    <col min="14" max="14" width="21.26953125" style="69" customWidth="1"/>
    <col min="15" max="15" width="26.6328125" style="69" customWidth="1"/>
    <col min="16" max="16" width="22.7265625" style="69" customWidth="1"/>
    <col min="17" max="17" width="28.08984375" style="69" customWidth="1"/>
    <col min="18" max="18" width="18.08984375" style="69" bestFit="1" customWidth="1"/>
    <col min="19" max="19" width="21.36328125" style="69" customWidth="1"/>
    <col min="20" max="20" width="11.6328125" style="69" customWidth="1"/>
    <col min="21" max="21" width="20.26953125" style="69" customWidth="1"/>
    <col min="22" max="22" width="24.08984375" style="69" customWidth="1"/>
    <col min="23" max="23" width="16.90625" style="69" customWidth="1"/>
    <col min="24" max="16384" width="10.90625" style="69"/>
  </cols>
  <sheetData>
    <row r="1" spans="1:25" ht="21" customHeight="1" x14ac:dyDescent="0.35">
      <c r="A1" s="69" t="s">
        <v>0</v>
      </c>
      <c r="B1" s="69" t="s">
        <v>1</v>
      </c>
      <c r="C1" s="69" t="s">
        <v>107</v>
      </c>
      <c r="D1" s="69" t="s">
        <v>2</v>
      </c>
      <c r="E1" s="69" t="s">
        <v>160</v>
      </c>
      <c r="F1" s="69" t="s">
        <v>171</v>
      </c>
      <c r="G1" s="69" t="s">
        <v>640</v>
      </c>
      <c r="H1" s="69" t="s">
        <v>645</v>
      </c>
      <c r="I1" s="69" t="s">
        <v>170</v>
      </c>
      <c r="J1" s="69" t="s">
        <v>172</v>
      </c>
      <c r="K1" s="69" t="s">
        <v>173</v>
      </c>
      <c r="L1" s="69" t="s">
        <v>174</v>
      </c>
      <c r="M1" s="69" t="s">
        <v>175</v>
      </c>
      <c r="N1" s="69" t="s">
        <v>176</v>
      </c>
      <c r="O1" s="69" t="s">
        <v>177</v>
      </c>
      <c r="P1" s="69" t="s">
        <v>179</v>
      </c>
      <c r="Q1" s="69" t="s">
        <v>573</v>
      </c>
      <c r="R1" s="69" t="s">
        <v>575</v>
      </c>
      <c r="S1" s="69" t="s">
        <v>576</v>
      </c>
      <c r="T1" s="69" t="s">
        <v>578</v>
      </c>
      <c r="U1" s="69" t="s">
        <v>582</v>
      </c>
      <c r="V1" s="69" t="s">
        <v>581</v>
      </c>
      <c r="W1" s="69" t="s">
        <v>583</v>
      </c>
      <c r="Y1" s="69" t="s">
        <v>600</v>
      </c>
    </row>
    <row r="2" spans="1:25" x14ac:dyDescent="0.35">
      <c r="A2" s="70">
        <v>45658</v>
      </c>
      <c r="B2" s="71" t="str">
        <f>TEXT(A2,"TTT")</f>
        <v>Mi</v>
      </c>
      <c r="C2" s="69">
        <f>MONTH(A2)</f>
        <v>1</v>
      </c>
      <c r="D2" s="69">
        <v>1</v>
      </c>
      <c r="E2" s="69" t="str">
        <f>IF(OR(COUNTIF(Feiertage_Hessen_2025!$C$4:$C$13,A2)&gt;0,WEEKDAY(A2,2)=7),"FT",IF(WEEKDAY(A2,2)=6,"SA","WT"))</f>
        <v>FT</v>
      </c>
      <c r="F2" s="69">
        <f>INDEX('BDEW-H25 Tagessummen'!$C$4:$C$39, MATCH(C2&amp;"_"&amp;E2, 'BDEW-H25 Tagessummen'!$D$4:$D$39, 0))</f>
        <v>2903.0330000000008</v>
      </c>
      <c r="G2" s="69">
        <f t="shared" ref="G2:G65" si="0">-3.92*10^-10*D2^4+3.2*10^-7*D2^3-7.02*10^-5*D2^2+2.1*10^-3*D2+1.24</f>
        <v>1.2420301196079999</v>
      </c>
      <c r="H2" s="69">
        <f>Tabelle1[[#This Row],[Profilwert (kWh)]]*Tabelle1[[#This Row],[Dynamisierungsfaktor]]</f>
        <v>3605.6544242159716</v>
      </c>
      <c r="I2" s="69">
        <f>Annahmen!$B$5*(H2/SUM($H$2:$H$366))</f>
        <v>18.036069979004335</v>
      </c>
      <c r="J2" s="69">
        <f>Annahmen!$B$6</f>
        <v>130</v>
      </c>
      <c r="K2" s="69">
        <f>I2*J2</f>
        <v>2344.6890972705637</v>
      </c>
      <c r="L2" s="69">
        <f>I2*Annahmen!$B$7</f>
        <v>12.625248985303033</v>
      </c>
      <c r="M2" s="69">
        <f>I2*(1-Annahmen!$B$7)</f>
        <v>5.410820993701301</v>
      </c>
      <c r="N2" s="69">
        <f>Annahmen!$B$8</f>
        <v>78</v>
      </c>
      <c r="O2" s="72">
        <f>INDEX(Quelle_SMARD_Preise_2025!$C$11:$C$375, MATCH($A2,Quelle_SMARD_Preise_2025!$A$11:$A$375, 0))</f>
        <v>0.95</v>
      </c>
      <c r="P2" s="69">
        <f>L2*N2</f>
        <v>984.76942085363657</v>
      </c>
      <c r="Q2" s="69">
        <f>M2*Tabelle1[[#This Row],[Beschaffungspreis_indexiert]]</f>
        <v>5.1402799440162354</v>
      </c>
      <c r="R2" s="73">
        <f>Annahmen!$B$9</f>
        <v>0.05</v>
      </c>
      <c r="S2" s="69">
        <f>R2*I2</f>
        <v>0.90180349895021683</v>
      </c>
      <c r="T2" s="69">
        <f>IF(OR(I2&gt;=PERCENTILE($I$2:$I$366,0.95),I2&lt;=PERCENTILE($I$2:$I$366,0.05)),1,0)</f>
        <v>1</v>
      </c>
      <c r="U2" s="74">
        <f>$O2+Annahmen!$B$10+(T2*Annahmen!$B$11)</f>
        <v>128.94999999999999</v>
      </c>
      <c r="V2" s="74">
        <f t="shared" ref="V2:V65" si="1">ABS(S2)*U2</f>
        <v>116.28756118963045</v>
      </c>
      <c r="W2" s="74">
        <f>K2-P2-Q2-V2</f>
        <v>1238.4918352832806</v>
      </c>
      <c r="Y2" s="69" t="s">
        <v>601</v>
      </c>
    </row>
    <row r="3" spans="1:25" x14ac:dyDescent="0.35">
      <c r="A3" s="70">
        <v>45659</v>
      </c>
      <c r="B3" s="71" t="str">
        <f t="shared" ref="B3:B66" si="2">TEXT(A3,"TTT")</f>
        <v>Do</v>
      </c>
      <c r="C3" s="69">
        <f t="shared" ref="C3:C66" si="3">MONTH(A3)</f>
        <v>1</v>
      </c>
      <c r="D3" s="69">
        <v>2</v>
      </c>
      <c r="E3" s="69" t="str">
        <f>IF(OR(COUNTIF(Feiertage_Hessen_2025!$C$4:$C$13,A3)&gt;0,WEEKDAY(A3,2)=7),"FT",IF(WEEKDAY(A3,2)=6,"SA","WT"))</f>
        <v>WT</v>
      </c>
      <c r="F3" s="69">
        <f>INDEX('BDEW-H25 Tagessummen'!$C$4:$C$39, MATCH(C3&amp;"_"&amp;E3, 'BDEW-H25 Tagessummen'!$D$4:$D$39, 0))</f>
        <v>2476.4499999999998</v>
      </c>
      <c r="G3" s="69">
        <f t="shared" si="0"/>
        <v>1.2439217537280001</v>
      </c>
      <c r="H3" s="69">
        <f>Tabelle1[[#This Row],[Profilwert (kWh)]]*Tabelle1[[#This Row],[Dynamisierungsfaktor]]</f>
        <v>3080.5100270197054</v>
      </c>
      <c r="I3" s="69">
        <f>Annahmen!$B$5*(H3/SUM($H$2:$H$366))</f>
        <v>15.409212276474111</v>
      </c>
      <c r="J3" s="69">
        <f>Annahmen!$B$6</f>
        <v>130</v>
      </c>
      <c r="K3" s="69">
        <f t="shared" ref="K3:K66" si="4">I3*J3</f>
        <v>2003.1975959416345</v>
      </c>
      <c r="L3" s="69">
        <f>I3*Annahmen!$B$7</f>
        <v>10.786448593531878</v>
      </c>
      <c r="M3" s="69">
        <f>I3*(1-Annahmen!$B$7)</f>
        <v>4.6227636829422343</v>
      </c>
      <c r="N3" s="69">
        <f>Annahmen!$B$8</f>
        <v>78</v>
      </c>
      <c r="O3" s="72">
        <f>INDEX(Quelle_SMARD_Preise_2025!$C$11:$C$375, MATCH($A3,Quelle_SMARD_Preise_2025!$A$11:$A$375, 0))</f>
        <v>92.91</v>
      </c>
      <c r="P3" s="69">
        <f t="shared" ref="P3:P66" si="5">L3*N3</f>
        <v>841.34299029548652</v>
      </c>
      <c r="Q3" s="69">
        <f>M3*O2</f>
        <v>4.391625498795122</v>
      </c>
      <c r="R3" s="73">
        <f>Annahmen!$B$9</f>
        <v>0.05</v>
      </c>
      <c r="S3" s="69">
        <f t="shared" ref="S3:S66" si="6">R3*I3</f>
        <v>0.77046061382370556</v>
      </c>
      <c r="T3" s="69">
        <f t="shared" ref="T3:T66" si="7">IF(OR(I3&gt;=PERCENTILE($I$2:$I$366,0.95),I3&lt;=PERCENTILE($I$2:$I$366,0.05)),1,0)</f>
        <v>0</v>
      </c>
      <c r="U3" s="74">
        <f>$O3+Annahmen!$B$10+(T3*Annahmen!$B$11)</f>
        <v>100.91</v>
      </c>
      <c r="V3" s="74">
        <f t="shared" si="1"/>
        <v>77.747180540950126</v>
      </c>
      <c r="W3" s="74">
        <f t="shared" ref="W3:W66" si="8">K3-P3-Q3-V3</f>
        <v>1079.7157996064029</v>
      </c>
      <c r="Y3" s="69" t="s">
        <v>602</v>
      </c>
    </row>
    <row r="4" spans="1:25" x14ac:dyDescent="0.35">
      <c r="A4" s="70">
        <v>45660</v>
      </c>
      <c r="B4" s="71" t="str">
        <f t="shared" si="2"/>
        <v>Fr</v>
      </c>
      <c r="C4" s="69">
        <f t="shared" si="3"/>
        <v>1</v>
      </c>
      <c r="D4" s="69">
        <v>3</v>
      </c>
      <c r="E4" s="69" t="str">
        <f>IF(OR(COUNTIF(Feiertage_Hessen_2025!$C$4:$C$13,A4)&gt;0,WEEKDAY(A4,2)=7),"FT",IF(WEEKDAY(A4,2)=6,"SA","WT"))</f>
        <v>WT</v>
      </c>
      <c r="F4" s="69">
        <f>INDEX('BDEW-H25 Tagessummen'!$C$4:$C$39, MATCH(C4&amp;"_"&amp;E4, 'BDEW-H25 Tagessummen'!$D$4:$D$39, 0))</f>
        <v>2476.4499999999998</v>
      </c>
      <c r="G4" s="69">
        <f t="shared" si="0"/>
        <v>1.2456768082480001</v>
      </c>
      <c r="H4" s="69">
        <f>Tabelle1[[#This Row],[Profilwert (kWh)]]*Tabelle1[[#This Row],[Dynamisierungsfaktor]]</f>
        <v>3084.8563317857597</v>
      </c>
      <c r="I4" s="69">
        <f>Annahmen!$B$5*(H4/SUM($H$2:$H$366))</f>
        <v>15.43095319994813</v>
      </c>
      <c r="J4" s="69">
        <f>Annahmen!$B$6</f>
        <v>130</v>
      </c>
      <c r="K4" s="69">
        <f t="shared" si="4"/>
        <v>2006.0239159932569</v>
      </c>
      <c r="L4" s="69">
        <f>I4*Annahmen!$B$7</f>
        <v>10.80166723996369</v>
      </c>
      <c r="M4" s="69">
        <f>I4*(1-Annahmen!$B$7)</f>
        <v>4.6292859599844398</v>
      </c>
      <c r="N4" s="69">
        <f>Annahmen!$B$8</f>
        <v>78</v>
      </c>
      <c r="O4" s="72">
        <f>INDEX(Quelle_SMARD_Preise_2025!$C$11:$C$375, MATCH($A4,Quelle_SMARD_Preise_2025!$A$11:$A$375, 0))</f>
        <v>89.94</v>
      </c>
      <c r="P4" s="69">
        <f t="shared" si="5"/>
        <v>842.53004471716781</v>
      </c>
      <c r="Q4" s="69">
        <f t="shared" ref="Q4:Q66" si="9">M4*O4</f>
        <v>416.35797924100052</v>
      </c>
      <c r="R4" s="73">
        <f>Annahmen!$B$9</f>
        <v>0.05</v>
      </c>
      <c r="S4" s="69">
        <f t="shared" si="6"/>
        <v>0.77154765999740649</v>
      </c>
      <c r="T4" s="69">
        <f t="shared" si="7"/>
        <v>0</v>
      </c>
      <c r="U4" s="74">
        <f>$O4+Annahmen!$B$10+(T4*Annahmen!$B$11)</f>
        <v>97.94</v>
      </c>
      <c r="V4" s="74">
        <f t="shared" si="1"/>
        <v>75.565377820145983</v>
      </c>
      <c r="W4" s="74">
        <f t="shared" si="8"/>
        <v>671.57051421494259</v>
      </c>
    </row>
    <row r="5" spans="1:25" x14ac:dyDescent="0.35">
      <c r="A5" s="70">
        <v>45661</v>
      </c>
      <c r="B5" s="71" t="str">
        <f t="shared" si="2"/>
        <v>Sa</v>
      </c>
      <c r="C5" s="69">
        <f t="shared" si="3"/>
        <v>1</v>
      </c>
      <c r="D5" s="69">
        <v>4</v>
      </c>
      <c r="E5" s="69" t="str">
        <f>IF(OR(COUNTIF(Feiertage_Hessen_2025!$C$4:$C$13,A5)&gt;0,WEEKDAY(A5,2)=7),"FT",IF(WEEKDAY(A5,2)=6,"SA","WT"))</f>
        <v>SA</v>
      </c>
      <c r="F5" s="69">
        <f>INDEX('BDEW-H25 Tagessummen'!$C$4:$C$39, MATCH(C5&amp;"_"&amp;E5, 'BDEW-H25 Tagessummen'!$D$4:$D$39, 0))</f>
        <v>2842.9610000000002</v>
      </c>
      <c r="G5" s="69">
        <f t="shared" si="0"/>
        <v>1.2472971796479999</v>
      </c>
      <c r="H5" s="69">
        <f>Tabelle1[[#This Row],[Profilwert (kWh)]]*Tabelle1[[#This Row],[Dynamisierungsfaktor]]</f>
        <v>3546.0172371492577</v>
      </c>
      <c r="I5" s="69">
        <f>Annahmen!$B$5*(H5/SUM($H$2:$H$366))</f>
        <v>17.737755067829752</v>
      </c>
      <c r="J5" s="69">
        <f>Annahmen!$B$6</f>
        <v>130</v>
      </c>
      <c r="K5" s="69">
        <f t="shared" si="4"/>
        <v>2305.9081588178678</v>
      </c>
      <c r="L5" s="69">
        <f>I5*Annahmen!$B$7</f>
        <v>12.416428547480827</v>
      </c>
      <c r="M5" s="69">
        <f>I5*(1-Annahmen!$B$7)</f>
        <v>5.3213265203489266</v>
      </c>
      <c r="N5" s="69">
        <f>Annahmen!$B$8</f>
        <v>78</v>
      </c>
      <c r="O5" s="72">
        <f>INDEX(Quelle_SMARD_Preise_2025!$C$11:$C$375, MATCH($A5,Quelle_SMARD_Preise_2025!$A$11:$A$375, 0))</f>
        <v>120.79</v>
      </c>
      <c r="P5" s="69">
        <f t="shared" si="5"/>
        <v>968.48142670350444</v>
      </c>
      <c r="Q5" s="69">
        <f t="shared" si="9"/>
        <v>642.76303039294692</v>
      </c>
      <c r="R5" s="73">
        <f>Annahmen!$B$9</f>
        <v>0.05</v>
      </c>
      <c r="S5" s="69">
        <f t="shared" si="6"/>
        <v>0.88688775339148762</v>
      </c>
      <c r="T5" s="69">
        <f t="shared" si="7"/>
        <v>1</v>
      </c>
      <c r="U5" s="74">
        <f>$O5+Annahmen!$B$10+(T5*Annahmen!$B$11)</f>
        <v>248.79000000000002</v>
      </c>
      <c r="V5" s="74">
        <f t="shared" si="1"/>
        <v>220.64880416626823</v>
      </c>
      <c r="W5" s="74">
        <f t="shared" si="8"/>
        <v>474.01489755514825</v>
      </c>
    </row>
    <row r="6" spans="1:25" x14ac:dyDescent="0.35">
      <c r="A6" s="70">
        <v>45662</v>
      </c>
      <c r="B6" s="71" t="str">
        <f t="shared" si="2"/>
        <v>So</v>
      </c>
      <c r="C6" s="69">
        <f t="shared" si="3"/>
        <v>1</v>
      </c>
      <c r="D6" s="69">
        <v>5</v>
      </c>
      <c r="E6" s="69" t="str">
        <f>IF(OR(COUNTIF(Feiertage_Hessen_2025!$C$4:$C$13,A6)&gt;0,WEEKDAY(A6,2)=7),"FT",IF(WEEKDAY(A6,2)=6,"SA","WT"))</f>
        <v>FT</v>
      </c>
      <c r="F6" s="69">
        <f>INDEX('BDEW-H25 Tagessummen'!$C$4:$C$39, MATCH(C6&amp;"_"&amp;E6, 'BDEW-H25 Tagessummen'!$D$4:$D$39, 0))</f>
        <v>2903.0330000000008</v>
      </c>
      <c r="G6" s="69">
        <f t="shared" si="0"/>
        <v>1.248784755</v>
      </c>
      <c r="H6" s="69">
        <f>Tabelle1[[#This Row],[Profilwert (kWh)]]*Tabelle1[[#This Row],[Dynamisierungsfaktor]]</f>
        <v>3625.263353661916</v>
      </c>
      <c r="I6" s="69">
        <f>Annahmen!$B$5*(H6/SUM($H$2:$H$366))</f>
        <v>18.134157033971427</v>
      </c>
      <c r="J6" s="69">
        <f>Annahmen!$B$6</f>
        <v>130</v>
      </c>
      <c r="K6" s="69">
        <f t="shared" si="4"/>
        <v>2357.4404144162854</v>
      </c>
      <c r="L6" s="69">
        <f>I6*Annahmen!$B$7</f>
        <v>12.693909923779998</v>
      </c>
      <c r="M6" s="69">
        <f>I6*(1-Annahmen!$B$7)</f>
        <v>5.4402471101914287</v>
      </c>
      <c r="N6" s="69">
        <f>Annahmen!$B$8</f>
        <v>78</v>
      </c>
      <c r="O6" s="72">
        <f>INDEX(Quelle_SMARD_Preise_2025!$C$11:$C$375, MATCH($A6,Quelle_SMARD_Preise_2025!$A$11:$A$375, 0))</f>
        <v>72.239999999999995</v>
      </c>
      <c r="P6" s="69">
        <f t="shared" si="5"/>
        <v>990.12497405483987</v>
      </c>
      <c r="Q6" s="69">
        <f t="shared" si="9"/>
        <v>393.0034512402288</v>
      </c>
      <c r="R6" s="73">
        <f>Annahmen!$B$9</f>
        <v>0.05</v>
      </c>
      <c r="S6" s="69">
        <f t="shared" si="6"/>
        <v>0.90670785169857138</v>
      </c>
      <c r="T6" s="69">
        <f t="shared" si="7"/>
        <v>1</v>
      </c>
      <c r="U6" s="74">
        <f>$O6+Annahmen!$B$10+(T6*Annahmen!$B$11)</f>
        <v>200.24</v>
      </c>
      <c r="V6" s="74">
        <f t="shared" si="1"/>
        <v>181.55918022412195</v>
      </c>
      <c r="W6" s="74">
        <f t="shared" si="8"/>
        <v>792.75280889709484</v>
      </c>
    </row>
    <row r="7" spans="1:25" x14ac:dyDescent="0.35">
      <c r="A7" s="70">
        <v>45663</v>
      </c>
      <c r="B7" s="71" t="str">
        <f t="shared" si="2"/>
        <v>Mo</v>
      </c>
      <c r="C7" s="69">
        <f t="shared" si="3"/>
        <v>1</v>
      </c>
      <c r="D7" s="69">
        <v>6</v>
      </c>
      <c r="E7" s="69" t="str">
        <f>IF(OR(COUNTIF(Feiertage_Hessen_2025!$C$4:$C$13,A7)&gt;0,WEEKDAY(A7,2)=7),"FT",IF(WEEKDAY(A7,2)=6,"SA","WT"))</f>
        <v>WT</v>
      </c>
      <c r="F7" s="69">
        <f>INDEX('BDEW-H25 Tagessummen'!$C$4:$C$39, MATCH(C7&amp;"_"&amp;E7, 'BDEW-H25 Tagessummen'!$D$4:$D$39, 0))</f>
        <v>2476.4499999999998</v>
      </c>
      <c r="G7" s="69">
        <f t="shared" si="0"/>
        <v>1.2501414119679999</v>
      </c>
      <c r="H7" s="69">
        <f>Tabelle1[[#This Row],[Profilwert (kWh)]]*Tabelle1[[#This Row],[Dynamisierungsfaktor]]</f>
        <v>3095.912699668153</v>
      </c>
      <c r="I7" s="69">
        <f>Annahmen!$B$5*(H7/SUM($H$2:$H$366))</f>
        <v>15.486258950688184</v>
      </c>
      <c r="J7" s="69">
        <f>Annahmen!$B$6</f>
        <v>130</v>
      </c>
      <c r="K7" s="69">
        <f t="shared" si="4"/>
        <v>2013.213663589464</v>
      </c>
      <c r="L7" s="69">
        <f>I7*Annahmen!$B$7</f>
        <v>10.840381265481728</v>
      </c>
      <c r="M7" s="69">
        <f>I7*(1-Annahmen!$B$7)</f>
        <v>4.6458776852064556</v>
      </c>
      <c r="N7" s="69">
        <f>Annahmen!$B$8</f>
        <v>78</v>
      </c>
      <c r="O7" s="72">
        <f>INDEX(Quelle_SMARD_Preise_2025!$C$11:$C$375, MATCH($A7,Quelle_SMARD_Preise_2025!$A$11:$A$375, 0))</f>
        <v>25.16</v>
      </c>
      <c r="P7" s="69">
        <f t="shared" si="5"/>
        <v>845.54973870757476</v>
      </c>
      <c r="Q7" s="69">
        <f t="shared" si="9"/>
        <v>116.89028255979443</v>
      </c>
      <c r="R7" s="73">
        <f>Annahmen!$B$9</f>
        <v>0.05</v>
      </c>
      <c r="S7" s="69">
        <f t="shared" si="6"/>
        <v>0.77431294753440927</v>
      </c>
      <c r="T7" s="69">
        <f t="shared" si="7"/>
        <v>0</v>
      </c>
      <c r="U7" s="74">
        <f>$O7+Annahmen!$B$10+(T7*Annahmen!$B$11)</f>
        <v>33.159999999999997</v>
      </c>
      <c r="V7" s="74">
        <f t="shared" si="1"/>
        <v>25.67621734024101</v>
      </c>
      <c r="W7" s="74">
        <f t="shared" si="8"/>
        <v>1025.0974249818537</v>
      </c>
    </row>
    <row r="8" spans="1:25" x14ac:dyDescent="0.35">
      <c r="A8" s="70">
        <v>45664</v>
      </c>
      <c r="B8" s="71" t="str">
        <f t="shared" si="2"/>
        <v>Di</v>
      </c>
      <c r="C8" s="69">
        <f t="shared" si="3"/>
        <v>1</v>
      </c>
      <c r="D8" s="69">
        <v>7</v>
      </c>
      <c r="E8" s="69" t="str">
        <f>IF(OR(COUNTIF(Feiertage_Hessen_2025!$C$4:$C$13,A8)&gt;0,WEEKDAY(A8,2)=7),"FT",IF(WEEKDAY(A8,2)=6,"SA","WT"))</f>
        <v>WT</v>
      </c>
      <c r="F8" s="69">
        <f>INDEX('BDEW-H25 Tagessummen'!$C$4:$C$39, MATCH(C8&amp;"_"&amp;E8, 'BDEW-H25 Tagessummen'!$D$4:$D$39, 0))</f>
        <v>2476.4499999999998</v>
      </c>
      <c r="G8" s="69">
        <f t="shared" si="0"/>
        <v>1.251369018808</v>
      </c>
      <c r="H8" s="69">
        <f>Tabelle1[[#This Row],[Profilwert (kWh)]]*Tabelle1[[#This Row],[Dynamisierungsfaktor]]</f>
        <v>3098.9528066270714</v>
      </c>
      <c r="I8" s="69">
        <f>Annahmen!$B$5*(H8/SUM($H$2:$H$366))</f>
        <v>15.501466060245455</v>
      </c>
      <c r="J8" s="69">
        <f>Annahmen!$B$6</f>
        <v>130</v>
      </c>
      <c r="K8" s="69">
        <f t="shared" si="4"/>
        <v>2015.1905878319092</v>
      </c>
      <c r="L8" s="69">
        <f>I8*Annahmen!$B$7</f>
        <v>10.851026242171818</v>
      </c>
      <c r="M8" s="69">
        <f>I8*(1-Annahmen!$B$7)</f>
        <v>4.6504398180736377</v>
      </c>
      <c r="N8" s="69">
        <f>Annahmen!$B$8</f>
        <v>78</v>
      </c>
      <c r="O8" s="72">
        <f>INDEX(Quelle_SMARD_Preise_2025!$C$11:$C$375, MATCH($A8,Quelle_SMARD_Preise_2025!$A$11:$A$375, 0))</f>
        <v>58.29</v>
      </c>
      <c r="P8" s="69">
        <f t="shared" si="5"/>
        <v>846.3800468894018</v>
      </c>
      <c r="Q8" s="69">
        <f t="shared" si="9"/>
        <v>271.07413699551233</v>
      </c>
      <c r="R8" s="73">
        <f>Annahmen!$B$9</f>
        <v>0.05</v>
      </c>
      <c r="S8" s="69">
        <f t="shared" si="6"/>
        <v>0.77507330301227284</v>
      </c>
      <c r="T8" s="69">
        <f t="shared" si="7"/>
        <v>0</v>
      </c>
      <c r="U8" s="74">
        <f>$O8+Annahmen!$B$10+(T8*Annahmen!$B$11)</f>
        <v>66.289999999999992</v>
      </c>
      <c r="V8" s="74">
        <f t="shared" si="1"/>
        <v>51.379609256683558</v>
      </c>
      <c r="W8" s="74">
        <f t="shared" si="8"/>
        <v>846.35679469031152</v>
      </c>
    </row>
    <row r="9" spans="1:25" x14ac:dyDescent="0.35">
      <c r="A9" s="70">
        <v>45665</v>
      </c>
      <c r="B9" s="71" t="str">
        <f t="shared" si="2"/>
        <v>Mi</v>
      </c>
      <c r="C9" s="69">
        <f t="shared" si="3"/>
        <v>1</v>
      </c>
      <c r="D9" s="69">
        <v>8</v>
      </c>
      <c r="E9" s="69" t="str">
        <f>IF(OR(COUNTIF(Feiertage_Hessen_2025!$C$4:$C$13,A9)&gt;0,WEEKDAY(A9,2)=7),"FT",IF(WEEKDAY(A9,2)=6,"SA","WT"))</f>
        <v>WT</v>
      </c>
      <c r="F9" s="69">
        <f>INDEX('BDEW-H25 Tagessummen'!$C$4:$C$39, MATCH(C9&amp;"_"&amp;E9, 'BDEW-H25 Tagessummen'!$D$4:$D$39, 0))</f>
        <v>2476.4499999999998</v>
      </c>
      <c r="G9" s="69">
        <f t="shared" si="0"/>
        <v>1.2524694343680001</v>
      </c>
      <c r="H9" s="69">
        <f>Tabelle1[[#This Row],[Profilwert (kWh)]]*Tabelle1[[#This Row],[Dynamisierungsfaktor]]</f>
        <v>3101.6779307406337</v>
      </c>
      <c r="I9" s="69">
        <f>Annahmen!$B$5*(H9/SUM($H$2:$H$366))</f>
        <v>15.515097574370486</v>
      </c>
      <c r="J9" s="69">
        <f>Annahmen!$B$6</f>
        <v>130</v>
      </c>
      <c r="K9" s="69">
        <f t="shared" si="4"/>
        <v>2016.9626846681631</v>
      </c>
      <c r="L9" s="69">
        <f>I9*Annahmen!$B$7</f>
        <v>10.86056830205934</v>
      </c>
      <c r="M9" s="69">
        <f>I9*(1-Annahmen!$B$7)</f>
        <v>4.6545292723111462</v>
      </c>
      <c r="N9" s="69">
        <f>Annahmen!$B$8</f>
        <v>78</v>
      </c>
      <c r="O9" s="72">
        <f>INDEX(Quelle_SMARD_Preise_2025!$C$11:$C$375, MATCH($A9,Quelle_SMARD_Preise_2025!$A$11:$A$375, 0))</f>
        <v>104.53</v>
      </c>
      <c r="P9" s="69">
        <f t="shared" si="5"/>
        <v>847.12432756062856</v>
      </c>
      <c r="Q9" s="69">
        <f t="shared" si="9"/>
        <v>486.53794483468414</v>
      </c>
      <c r="R9" s="73">
        <f>Annahmen!$B$9</f>
        <v>0.05</v>
      </c>
      <c r="S9" s="69">
        <f t="shared" si="6"/>
        <v>0.77575487871852433</v>
      </c>
      <c r="T9" s="69">
        <f t="shared" si="7"/>
        <v>0</v>
      </c>
      <c r="U9" s="74">
        <f>$O9+Annahmen!$B$10+(T9*Annahmen!$B$11)</f>
        <v>112.53</v>
      </c>
      <c r="V9" s="74">
        <f t="shared" si="1"/>
        <v>87.29569650219554</v>
      </c>
      <c r="W9" s="74">
        <f t="shared" si="8"/>
        <v>596.00471577065491</v>
      </c>
    </row>
    <row r="10" spans="1:25" x14ac:dyDescent="0.35">
      <c r="A10" s="70">
        <v>45666</v>
      </c>
      <c r="B10" s="71" t="str">
        <f t="shared" si="2"/>
        <v>Do</v>
      </c>
      <c r="C10" s="69">
        <f t="shared" si="3"/>
        <v>1</v>
      </c>
      <c r="D10" s="69">
        <v>9</v>
      </c>
      <c r="E10" s="69" t="str">
        <f>IF(OR(COUNTIF(Feiertage_Hessen_2025!$C$4:$C$13,A10)&gt;0,WEEKDAY(A10,2)=7),"FT",IF(WEEKDAY(A10,2)=6,"SA","WT"))</f>
        <v>WT</v>
      </c>
      <c r="F10" s="69">
        <f>INDEX('BDEW-H25 Tagessummen'!$C$4:$C$39, MATCH(C10&amp;"_"&amp;E10, 'BDEW-H25 Tagessummen'!$D$4:$D$39, 0))</f>
        <v>2476.4499999999998</v>
      </c>
      <c r="G10" s="69">
        <f t="shared" si="0"/>
        <v>1.2534445080879999</v>
      </c>
      <c r="H10" s="69">
        <f>Tabelle1[[#This Row],[Profilwert (kWh)]]*Tabelle1[[#This Row],[Dynamisierungsfaktor]]</f>
        <v>3104.0926520545272</v>
      </c>
      <c r="I10" s="69">
        <f>Annahmen!$B$5*(H10/SUM($H$2:$H$366))</f>
        <v>15.527176403196865</v>
      </c>
      <c r="J10" s="69">
        <f>Annahmen!$B$6</f>
        <v>130</v>
      </c>
      <c r="K10" s="69">
        <f t="shared" si="4"/>
        <v>2018.5329324155925</v>
      </c>
      <c r="L10" s="69">
        <f>I10*Annahmen!$B$7</f>
        <v>10.869023482237806</v>
      </c>
      <c r="M10" s="69">
        <f>I10*(1-Annahmen!$B$7)</f>
        <v>4.6581529209590604</v>
      </c>
      <c r="N10" s="69">
        <f>Annahmen!$B$8</f>
        <v>78</v>
      </c>
      <c r="O10" s="72">
        <f>INDEX(Quelle_SMARD_Preise_2025!$C$11:$C$375, MATCH($A10,Quelle_SMARD_Preise_2025!$A$11:$A$375, 0))</f>
        <v>121.53</v>
      </c>
      <c r="P10" s="69">
        <f t="shared" si="5"/>
        <v>847.78383161454883</v>
      </c>
      <c r="Q10" s="69">
        <f t="shared" si="9"/>
        <v>566.10532448415461</v>
      </c>
      <c r="R10" s="73">
        <f>Annahmen!$B$9</f>
        <v>0.05</v>
      </c>
      <c r="S10" s="69">
        <f t="shared" si="6"/>
        <v>0.77635882015984325</v>
      </c>
      <c r="T10" s="69">
        <f t="shared" si="7"/>
        <v>0</v>
      </c>
      <c r="U10" s="74">
        <f>$O10+Annahmen!$B$10+(T10*Annahmen!$B$11)</f>
        <v>129.53</v>
      </c>
      <c r="V10" s="74">
        <f t="shared" si="1"/>
        <v>100.5617579753045</v>
      </c>
      <c r="W10" s="74">
        <f t="shared" si="8"/>
        <v>504.08201834158473</v>
      </c>
    </row>
    <row r="11" spans="1:25" x14ac:dyDescent="0.35">
      <c r="A11" s="70">
        <v>45667</v>
      </c>
      <c r="B11" s="71" t="str">
        <f t="shared" si="2"/>
        <v>Fr</v>
      </c>
      <c r="C11" s="69">
        <f t="shared" si="3"/>
        <v>1</v>
      </c>
      <c r="D11" s="69">
        <v>10</v>
      </c>
      <c r="E11" s="69" t="str">
        <f>IF(OR(COUNTIF(Feiertage_Hessen_2025!$C$4:$C$13,A11)&gt;0,WEEKDAY(A11,2)=7),"FT",IF(WEEKDAY(A11,2)=6,"SA","WT"))</f>
        <v>WT</v>
      </c>
      <c r="F11" s="69">
        <f>INDEX('BDEW-H25 Tagessummen'!$C$4:$C$39, MATCH(C11&amp;"_"&amp;E11, 'BDEW-H25 Tagessummen'!$D$4:$D$39, 0))</f>
        <v>2476.4499999999998</v>
      </c>
      <c r="G11" s="69">
        <f t="shared" si="0"/>
        <v>1.25429608</v>
      </c>
      <c r="H11" s="69">
        <f>Tabelle1[[#This Row],[Profilwert (kWh)]]*Tabelle1[[#This Row],[Dynamisierungsfaktor]]</f>
        <v>3106.201527316</v>
      </c>
      <c r="I11" s="69">
        <f>Annahmen!$B$5*(H11/SUM($H$2:$H$366))</f>
        <v>15.537725340315591</v>
      </c>
      <c r="J11" s="69">
        <f>Annahmen!$B$6</f>
        <v>130</v>
      </c>
      <c r="K11" s="69">
        <f t="shared" si="4"/>
        <v>2019.9042942410267</v>
      </c>
      <c r="L11" s="69">
        <f>I11*Annahmen!$B$7</f>
        <v>10.876407738220912</v>
      </c>
      <c r="M11" s="69">
        <f>I11*(1-Annahmen!$B$7)</f>
        <v>4.6613176020946776</v>
      </c>
      <c r="N11" s="69">
        <f>Annahmen!$B$8</f>
        <v>78</v>
      </c>
      <c r="O11" s="72">
        <f>INDEX(Quelle_SMARD_Preise_2025!$C$11:$C$375, MATCH($A11,Quelle_SMARD_Preise_2025!$A$11:$A$375, 0))</f>
        <v>112.43</v>
      </c>
      <c r="P11" s="69">
        <f t="shared" si="5"/>
        <v>848.35980358123118</v>
      </c>
      <c r="Q11" s="69">
        <f t="shared" si="9"/>
        <v>524.07193800350467</v>
      </c>
      <c r="R11" s="73">
        <f>Annahmen!$B$9</f>
        <v>0.05</v>
      </c>
      <c r="S11" s="69">
        <f t="shared" si="6"/>
        <v>0.77688626701577956</v>
      </c>
      <c r="T11" s="69">
        <f t="shared" si="7"/>
        <v>0</v>
      </c>
      <c r="U11" s="74">
        <f>$O11+Annahmen!$B$10+(T11*Annahmen!$B$11)</f>
        <v>120.43</v>
      </c>
      <c r="V11" s="74">
        <f t="shared" si="1"/>
        <v>93.560413136710338</v>
      </c>
      <c r="W11" s="74">
        <f t="shared" si="8"/>
        <v>553.91213951958048</v>
      </c>
    </row>
    <row r="12" spans="1:25" x14ac:dyDescent="0.35">
      <c r="A12" s="70">
        <v>45668</v>
      </c>
      <c r="B12" s="71" t="str">
        <f t="shared" si="2"/>
        <v>Sa</v>
      </c>
      <c r="C12" s="69">
        <f t="shared" si="3"/>
        <v>1</v>
      </c>
      <c r="D12" s="69">
        <v>11</v>
      </c>
      <c r="E12" s="69" t="str">
        <f>IF(OR(COUNTIF(Feiertage_Hessen_2025!$C$4:$C$13,A12)&gt;0,WEEKDAY(A12,2)=7),"FT",IF(WEEKDAY(A12,2)=6,"SA","WT"))</f>
        <v>SA</v>
      </c>
      <c r="F12" s="69">
        <f>INDEX('BDEW-H25 Tagessummen'!$C$4:$C$39, MATCH(C12&amp;"_"&amp;E12, 'BDEW-H25 Tagessummen'!$D$4:$D$39, 0))</f>
        <v>2842.9610000000002</v>
      </c>
      <c r="G12" s="69">
        <f t="shared" si="0"/>
        <v>1.255025980728</v>
      </c>
      <c r="H12" s="69">
        <f>Tabelle1[[#This Row],[Profilwert (kWh)]]*Tabelle1[[#This Row],[Dynamisierungsfaktor]]</f>
        <v>3567.9899171964557</v>
      </c>
      <c r="I12" s="69">
        <f>Annahmen!$B$5*(H12/SUM($H$2:$H$366))</f>
        <v>17.84766598782695</v>
      </c>
      <c r="J12" s="69">
        <f>Annahmen!$B$6</f>
        <v>130</v>
      </c>
      <c r="K12" s="69">
        <f t="shared" si="4"/>
        <v>2320.1965784175036</v>
      </c>
      <c r="L12" s="69">
        <f>I12*Annahmen!$B$7</f>
        <v>12.493366191478865</v>
      </c>
      <c r="M12" s="69">
        <f>I12*(1-Annahmen!$B$7)</f>
        <v>5.3542997963480854</v>
      </c>
      <c r="N12" s="69">
        <f>Annahmen!$B$8</f>
        <v>78</v>
      </c>
      <c r="O12" s="72">
        <f>INDEX(Quelle_SMARD_Preise_2025!$C$11:$C$375, MATCH($A12,Quelle_SMARD_Preise_2025!$A$11:$A$375, 0))</f>
        <v>101.89</v>
      </c>
      <c r="P12" s="69">
        <f t="shared" si="5"/>
        <v>974.48256293535144</v>
      </c>
      <c r="Q12" s="69">
        <f t="shared" si="9"/>
        <v>545.54960624990645</v>
      </c>
      <c r="R12" s="73">
        <f>Annahmen!$B$9</f>
        <v>0.05</v>
      </c>
      <c r="S12" s="69">
        <f t="shared" si="6"/>
        <v>0.89238329939134753</v>
      </c>
      <c r="T12" s="69">
        <f t="shared" si="7"/>
        <v>1</v>
      </c>
      <c r="U12" s="74">
        <f>$O12+Annahmen!$B$10+(T12*Annahmen!$B$11)</f>
        <v>229.89</v>
      </c>
      <c r="V12" s="74">
        <f t="shared" si="1"/>
        <v>205.14999669707686</v>
      </c>
      <c r="W12" s="74">
        <f t="shared" si="8"/>
        <v>595.01441253516896</v>
      </c>
    </row>
    <row r="13" spans="1:25" x14ac:dyDescent="0.35">
      <c r="A13" s="70">
        <v>45669</v>
      </c>
      <c r="B13" s="71" t="str">
        <f t="shared" si="2"/>
        <v>So</v>
      </c>
      <c r="C13" s="69">
        <f t="shared" si="3"/>
        <v>1</v>
      </c>
      <c r="D13" s="69">
        <v>12</v>
      </c>
      <c r="E13" s="69" t="str">
        <f>IF(OR(COUNTIF(Feiertage_Hessen_2025!$C$4:$C$13,A13)&gt;0,WEEKDAY(A13,2)=7),"FT",IF(WEEKDAY(A13,2)=6,"SA","WT"))</f>
        <v>FT</v>
      </c>
      <c r="F13" s="69">
        <f>INDEX('BDEW-H25 Tagessummen'!$C$4:$C$39, MATCH(C13&amp;"_"&amp;E13, 'BDEW-H25 Tagessummen'!$D$4:$D$39, 0))</f>
        <v>2903.0330000000008</v>
      </c>
      <c r="G13" s="69">
        <f t="shared" si="0"/>
        <v>1.255636031488</v>
      </c>
      <c r="H13" s="69">
        <f>Tabelle1[[#This Row],[Profilwert (kWh)]]*Tabelle1[[#This Row],[Dynamisierungsfaktor]]</f>
        <v>3645.1528353987042</v>
      </c>
      <c r="I13" s="69">
        <f>Annahmen!$B$5*(H13/SUM($H$2:$H$366))</f>
        <v>18.233647457136104</v>
      </c>
      <c r="J13" s="69">
        <f>Annahmen!$B$6</f>
        <v>130</v>
      </c>
      <c r="K13" s="69">
        <f t="shared" si="4"/>
        <v>2370.3741694276937</v>
      </c>
      <c r="L13" s="69">
        <f>I13*Annahmen!$B$7</f>
        <v>12.763553219995272</v>
      </c>
      <c r="M13" s="69">
        <f>I13*(1-Annahmen!$B$7)</f>
        <v>5.4700942371408319</v>
      </c>
      <c r="N13" s="69">
        <f>Annahmen!$B$8</f>
        <v>78</v>
      </c>
      <c r="O13" s="72">
        <f>INDEX(Quelle_SMARD_Preise_2025!$C$11:$C$375, MATCH($A13,Quelle_SMARD_Preise_2025!$A$11:$A$375, 0))</f>
        <v>110.07</v>
      </c>
      <c r="P13" s="69">
        <f t="shared" si="5"/>
        <v>995.55715115963119</v>
      </c>
      <c r="Q13" s="69">
        <f t="shared" si="9"/>
        <v>602.09327268209131</v>
      </c>
      <c r="R13" s="73">
        <f>Annahmen!$B$9</f>
        <v>0.05</v>
      </c>
      <c r="S13" s="69">
        <f t="shared" si="6"/>
        <v>0.91168237285680531</v>
      </c>
      <c r="T13" s="69">
        <f t="shared" si="7"/>
        <v>1</v>
      </c>
      <c r="U13" s="74">
        <f>$O13+Annahmen!$B$10+(T13*Annahmen!$B$11)</f>
        <v>238.07</v>
      </c>
      <c r="V13" s="74">
        <f t="shared" si="1"/>
        <v>217.04422250601962</v>
      </c>
      <c r="W13" s="74">
        <f t="shared" si="8"/>
        <v>555.67952307995142</v>
      </c>
    </row>
    <row r="14" spans="1:25" x14ac:dyDescent="0.35">
      <c r="A14" s="70">
        <v>45670</v>
      </c>
      <c r="B14" s="71" t="str">
        <f t="shared" si="2"/>
        <v>Mo</v>
      </c>
      <c r="C14" s="69">
        <f t="shared" si="3"/>
        <v>1</v>
      </c>
      <c r="D14" s="69">
        <v>13</v>
      </c>
      <c r="E14" s="69" t="str">
        <f>IF(OR(COUNTIF(Feiertage_Hessen_2025!$C$4:$C$13,A14)&gt;0,WEEKDAY(A14,2)=7),"FT",IF(WEEKDAY(A14,2)=6,"SA","WT"))</f>
        <v>WT</v>
      </c>
      <c r="F14" s="69">
        <f>INDEX('BDEW-H25 Tagessummen'!$C$4:$C$39, MATCH(C14&amp;"_"&amp;E14, 'BDEW-H25 Tagessummen'!$D$4:$D$39, 0))</f>
        <v>2476.4499999999998</v>
      </c>
      <c r="G14" s="69">
        <f t="shared" si="0"/>
        <v>1.2561280440880001</v>
      </c>
      <c r="H14" s="69">
        <f>Tabelle1[[#This Row],[Profilwert (kWh)]]*Tabelle1[[#This Row],[Dynamisierungsfaktor]]</f>
        <v>3110.7382947817273</v>
      </c>
      <c r="I14" s="69">
        <f>Annahmen!$B$5*(H14/SUM($H$2:$H$366))</f>
        <v>15.560418989196855</v>
      </c>
      <c r="J14" s="69">
        <f>Annahmen!$B$6</f>
        <v>130</v>
      </c>
      <c r="K14" s="69">
        <f t="shared" si="4"/>
        <v>2022.854468595591</v>
      </c>
      <c r="L14" s="69">
        <f>I14*Annahmen!$B$7</f>
        <v>10.892293292437797</v>
      </c>
      <c r="M14" s="69">
        <f>I14*(1-Annahmen!$B$7)</f>
        <v>4.6681256967590574</v>
      </c>
      <c r="N14" s="69">
        <f>Annahmen!$B$8</f>
        <v>78</v>
      </c>
      <c r="O14" s="72">
        <f>INDEX(Quelle_SMARD_Preise_2025!$C$11:$C$375, MATCH($A14,Quelle_SMARD_Preise_2025!$A$11:$A$375, 0))</f>
        <v>129.19999999999999</v>
      </c>
      <c r="P14" s="69">
        <f t="shared" si="5"/>
        <v>849.59887681014823</v>
      </c>
      <c r="Q14" s="69">
        <f t="shared" si="9"/>
        <v>603.12184002127015</v>
      </c>
      <c r="R14" s="73">
        <f>Annahmen!$B$9</f>
        <v>0.05</v>
      </c>
      <c r="S14" s="69">
        <f t="shared" si="6"/>
        <v>0.77802094945984279</v>
      </c>
      <c r="T14" s="69">
        <f t="shared" si="7"/>
        <v>0</v>
      </c>
      <c r="U14" s="74">
        <f>$O14+Annahmen!$B$10+(T14*Annahmen!$B$11)</f>
        <v>137.19999999999999</v>
      </c>
      <c r="V14" s="74">
        <f t="shared" si="1"/>
        <v>106.74447426589042</v>
      </c>
      <c r="W14" s="74">
        <f t="shared" si="8"/>
        <v>463.38927749828235</v>
      </c>
    </row>
    <row r="15" spans="1:25" x14ac:dyDescent="0.35">
      <c r="A15" s="70">
        <v>45671</v>
      </c>
      <c r="B15" s="71" t="str">
        <f t="shared" si="2"/>
        <v>Di</v>
      </c>
      <c r="C15" s="69">
        <f t="shared" si="3"/>
        <v>1</v>
      </c>
      <c r="D15" s="69">
        <v>14</v>
      </c>
      <c r="E15" s="69" t="str">
        <f>IF(OR(COUNTIF(Feiertage_Hessen_2025!$C$4:$C$13,A15)&gt;0,WEEKDAY(A15,2)=7),"FT",IF(WEEKDAY(A15,2)=6,"SA","WT"))</f>
        <v>WT</v>
      </c>
      <c r="F15" s="69">
        <f>INDEX('BDEW-H25 Tagessummen'!$C$4:$C$39, MATCH(C15&amp;"_"&amp;E15, 'BDEW-H25 Tagessummen'!$D$4:$D$39, 0))</f>
        <v>2476.4499999999998</v>
      </c>
      <c r="G15" s="69">
        <f t="shared" si="0"/>
        <v>1.2565038209279999</v>
      </c>
      <c r="H15" s="69">
        <f>Tabelle1[[#This Row],[Profilwert (kWh)]]*Tabelle1[[#This Row],[Dynamisierungsfaktor]]</f>
        <v>3111.6688873371454</v>
      </c>
      <c r="I15" s="69">
        <f>Annahmen!$B$5*(H15/SUM($H$2:$H$366))</f>
        <v>15.565073964543004</v>
      </c>
      <c r="J15" s="69">
        <f>Annahmen!$B$6</f>
        <v>130</v>
      </c>
      <c r="K15" s="69">
        <f t="shared" si="4"/>
        <v>2023.4596153905904</v>
      </c>
      <c r="L15" s="69">
        <f>I15*Annahmen!$B$7</f>
        <v>10.895551775180103</v>
      </c>
      <c r="M15" s="69">
        <f>I15*(1-Annahmen!$B$7)</f>
        <v>4.669522189362902</v>
      </c>
      <c r="N15" s="69">
        <f>Annahmen!$B$8</f>
        <v>78</v>
      </c>
      <c r="O15" s="72">
        <f>INDEX(Quelle_SMARD_Preise_2025!$C$11:$C$375, MATCH($A15,Quelle_SMARD_Preise_2025!$A$11:$A$375, 0))</f>
        <v>126.82</v>
      </c>
      <c r="P15" s="69">
        <f t="shared" si="5"/>
        <v>849.85303846404804</v>
      </c>
      <c r="Q15" s="69">
        <f t="shared" si="9"/>
        <v>592.18880405500317</v>
      </c>
      <c r="R15" s="73">
        <f>Annahmen!$B$9</f>
        <v>0.05</v>
      </c>
      <c r="S15" s="69">
        <f t="shared" si="6"/>
        <v>0.77825369822715018</v>
      </c>
      <c r="T15" s="69">
        <f t="shared" si="7"/>
        <v>0</v>
      </c>
      <c r="U15" s="74">
        <f>$O15+Annahmen!$B$10+(T15*Annahmen!$B$11)</f>
        <v>134.82</v>
      </c>
      <c r="V15" s="74">
        <f t="shared" si="1"/>
        <v>104.92416359498438</v>
      </c>
      <c r="W15" s="74">
        <f t="shared" si="8"/>
        <v>476.49360927655482</v>
      </c>
    </row>
    <row r="16" spans="1:25" x14ac:dyDescent="0.35">
      <c r="A16" s="70">
        <v>45672</v>
      </c>
      <c r="B16" s="71" t="str">
        <f t="shared" si="2"/>
        <v>Mi</v>
      </c>
      <c r="C16" s="69">
        <f t="shared" si="3"/>
        <v>1</v>
      </c>
      <c r="D16" s="69">
        <v>15</v>
      </c>
      <c r="E16" s="69" t="str">
        <f>IF(OR(COUNTIF(Feiertage_Hessen_2025!$C$4:$C$13,A16)&gt;0,WEEKDAY(A16,2)=7),"FT",IF(WEEKDAY(A16,2)=6,"SA","WT"))</f>
        <v>WT</v>
      </c>
      <c r="F16" s="69">
        <f>INDEX('BDEW-H25 Tagessummen'!$C$4:$C$39, MATCH(C16&amp;"_"&amp;E16, 'BDEW-H25 Tagessummen'!$D$4:$D$39, 0))</f>
        <v>2476.4499999999998</v>
      </c>
      <c r="G16" s="69">
        <f t="shared" si="0"/>
        <v>1.2567651550000001</v>
      </c>
      <c r="H16" s="69">
        <f>Tabelle1[[#This Row],[Profilwert (kWh)]]*Tabelle1[[#This Row],[Dynamisierungsfaktor]]</f>
        <v>3112.3160680997498</v>
      </c>
      <c r="I16" s="69">
        <f>Annahmen!$B$5*(H16/SUM($H$2:$H$366))</f>
        <v>15.568311267997545</v>
      </c>
      <c r="J16" s="69">
        <f>Annahmen!$B$6</f>
        <v>130</v>
      </c>
      <c r="K16" s="69">
        <f t="shared" si="4"/>
        <v>2023.8804648396808</v>
      </c>
      <c r="L16" s="69">
        <f>I16*Annahmen!$B$7</f>
        <v>10.897817887598281</v>
      </c>
      <c r="M16" s="69">
        <f>I16*(1-Annahmen!$B$7)</f>
        <v>4.6704933803992645</v>
      </c>
      <c r="N16" s="69">
        <f>Annahmen!$B$8</f>
        <v>78</v>
      </c>
      <c r="O16" s="72">
        <f>INDEX(Quelle_SMARD_Preise_2025!$C$11:$C$375, MATCH($A16,Quelle_SMARD_Preise_2025!$A$11:$A$375, 0))</f>
        <v>222.18</v>
      </c>
      <c r="P16" s="69">
        <f t="shared" si="5"/>
        <v>850.02979523266595</v>
      </c>
      <c r="Q16" s="69">
        <f t="shared" si="9"/>
        <v>1037.6902192571085</v>
      </c>
      <c r="R16" s="73">
        <f>Annahmen!$B$9</f>
        <v>0.05</v>
      </c>
      <c r="S16" s="69">
        <f t="shared" si="6"/>
        <v>0.77841556339987727</v>
      </c>
      <c r="T16" s="69">
        <f t="shared" si="7"/>
        <v>0</v>
      </c>
      <c r="U16" s="74">
        <f>$O16+Annahmen!$B$10+(T16*Annahmen!$B$11)</f>
        <v>230.18</v>
      </c>
      <c r="V16" s="74">
        <f t="shared" si="1"/>
        <v>179.17569438338376</v>
      </c>
      <c r="W16" s="74">
        <f t="shared" si="8"/>
        <v>-43.015244033477416</v>
      </c>
    </row>
    <row r="17" spans="1:23" x14ac:dyDescent="0.35">
      <c r="A17" s="70">
        <v>45673</v>
      </c>
      <c r="B17" s="71" t="str">
        <f t="shared" si="2"/>
        <v>Do</v>
      </c>
      <c r="C17" s="69">
        <f t="shared" si="3"/>
        <v>1</v>
      </c>
      <c r="D17" s="69">
        <v>16</v>
      </c>
      <c r="E17" s="69" t="str">
        <f>IF(OR(COUNTIF(Feiertage_Hessen_2025!$C$4:$C$13,A17)&gt;0,WEEKDAY(A17,2)=7),"FT",IF(WEEKDAY(A17,2)=6,"SA","WT"))</f>
        <v>WT</v>
      </c>
      <c r="F17" s="69">
        <f>INDEX('BDEW-H25 Tagessummen'!$C$4:$C$39, MATCH(C17&amp;"_"&amp;E17, 'BDEW-H25 Tagessummen'!$D$4:$D$39, 0))</f>
        <v>2476.4499999999998</v>
      </c>
      <c r="G17" s="69">
        <f t="shared" si="0"/>
        <v>1.256913829888</v>
      </c>
      <c r="H17" s="69">
        <f>Tabelle1[[#This Row],[Profilwert (kWh)]]*Tabelle1[[#This Row],[Dynamisierungsfaktor]]</f>
        <v>3112.6842540261373</v>
      </c>
      <c r="I17" s="69">
        <f>Annahmen!$B$5*(H17/SUM($H$2:$H$366))</f>
        <v>15.570152993895903</v>
      </c>
      <c r="J17" s="69">
        <f>Annahmen!$B$6</f>
        <v>130</v>
      </c>
      <c r="K17" s="69">
        <f t="shared" si="4"/>
        <v>2024.1198892064674</v>
      </c>
      <c r="L17" s="69">
        <f>I17*Annahmen!$B$7</f>
        <v>10.899107095727132</v>
      </c>
      <c r="M17" s="69">
        <f>I17*(1-Annahmen!$B$7)</f>
        <v>4.6710458981687717</v>
      </c>
      <c r="N17" s="69">
        <f>Annahmen!$B$8</f>
        <v>78</v>
      </c>
      <c r="O17" s="72">
        <f>INDEX(Quelle_SMARD_Preise_2025!$C$11:$C$375, MATCH($A17,Quelle_SMARD_Preise_2025!$A$11:$A$375, 0))</f>
        <v>148.1</v>
      </c>
      <c r="P17" s="69">
        <f t="shared" si="5"/>
        <v>850.13035346671631</v>
      </c>
      <c r="Q17" s="69">
        <f t="shared" si="9"/>
        <v>691.78189751879506</v>
      </c>
      <c r="R17" s="73">
        <f>Annahmen!$B$9</f>
        <v>0.05</v>
      </c>
      <c r="S17" s="69">
        <f t="shared" si="6"/>
        <v>0.77850764969479513</v>
      </c>
      <c r="T17" s="69">
        <f t="shared" si="7"/>
        <v>0</v>
      </c>
      <c r="U17" s="74">
        <f>$O17+Annahmen!$B$10+(T17*Annahmen!$B$11)</f>
        <v>156.1</v>
      </c>
      <c r="V17" s="74">
        <f t="shared" si="1"/>
        <v>121.52504411735751</v>
      </c>
      <c r="W17" s="74">
        <f t="shared" si="8"/>
        <v>360.68259410359849</v>
      </c>
    </row>
    <row r="18" spans="1:23" x14ac:dyDescent="0.35">
      <c r="A18" s="70">
        <v>45674</v>
      </c>
      <c r="B18" s="71" t="str">
        <f t="shared" si="2"/>
        <v>Fr</v>
      </c>
      <c r="C18" s="69">
        <f t="shared" si="3"/>
        <v>1</v>
      </c>
      <c r="D18" s="69">
        <v>17</v>
      </c>
      <c r="E18" s="69" t="str">
        <f>IF(OR(COUNTIF(Feiertage_Hessen_2025!$C$4:$C$13,A18)&gt;0,WEEKDAY(A18,2)=7),"FT",IF(WEEKDAY(A18,2)=6,"SA","WT"))</f>
        <v>WT</v>
      </c>
      <c r="F18" s="69">
        <f>INDEX('BDEW-H25 Tagessummen'!$C$4:$C$39, MATCH(C18&amp;"_"&amp;E18, 'BDEW-H25 Tagessummen'!$D$4:$D$39, 0))</f>
        <v>2476.4499999999998</v>
      </c>
      <c r="G18" s="69">
        <f t="shared" si="0"/>
        <v>1.256951619768</v>
      </c>
      <c r="H18" s="69">
        <f>Tabelle1[[#This Row],[Profilwert (kWh)]]*Tabelle1[[#This Row],[Dynamisierungsfaktor]]</f>
        <v>3112.7778387744634</v>
      </c>
      <c r="I18" s="69">
        <f>Annahmen!$B$5*(H18/SUM($H$2:$H$366))</f>
        <v>15.570621120030909</v>
      </c>
      <c r="J18" s="69">
        <f>Annahmen!$B$6</f>
        <v>130</v>
      </c>
      <c r="K18" s="69">
        <f t="shared" si="4"/>
        <v>2024.1807456040181</v>
      </c>
      <c r="L18" s="69">
        <f>I18*Annahmen!$B$7</f>
        <v>10.899434784021636</v>
      </c>
      <c r="M18" s="69">
        <f>I18*(1-Annahmen!$B$7)</f>
        <v>4.6711863360092734</v>
      </c>
      <c r="N18" s="69">
        <f>Annahmen!$B$8</f>
        <v>78</v>
      </c>
      <c r="O18" s="72">
        <f>INDEX(Quelle_SMARD_Preise_2025!$C$11:$C$375, MATCH($A18,Quelle_SMARD_Preise_2025!$A$11:$A$375, 0))</f>
        <v>146.32</v>
      </c>
      <c r="P18" s="69">
        <f t="shared" si="5"/>
        <v>850.15591315368761</v>
      </c>
      <c r="Q18" s="69">
        <f t="shared" si="9"/>
        <v>683.48798468487689</v>
      </c>
      <c r="R18" s="73">
        <f>Annahmen!$B$9</f>
        <v>0.05</v>
      </c>
      <c r="S18" s="69">
        <f t="shared" si="6"/>
        <v>0.77853105600154549</v>
      </c>
      <c r="T18" s="69">
        <f t="shared" si="7"/>
        <v>0</v>
      </c>
      <c r="U18" s="74">
        <f>$O18+Annahmen!$B$10+(T18*Annahmen!$B$11)</f>
        <v>154.32</v>
      </c>
      <c r="V18" s="74">
        <f t="shared" si="1"/>
        <v>120.1429125621585</v>
      </c>
      <c r="W18" s="74">
        <f t="shared" si="8"/>
        <v>370.39393520329509</v>
      </c>
    </row>
    <row r="19" spans="1:23" x14ac:dyDescent="0.35">
      <c r="A19" s="70">
        <v>45675</v>
      </c>
      <c r="B19" s="71" t="str">
        <f t="shared" si="2"/>
        <v>Sa</v>
      </c>
      <c r="C19" s="69">
        <f t="shared" si="3"/>
        <v>1</v>
      </c>
      <c r="D19" s="69">
        <v>18</v>
      </c>
      <c r="E19" s="69" t="str">
        <f>IF(OR(COUNTIF(Feiertage_Hessen_2025!$C$4:$C$13,A19)&gt;0,WEEKDAY(A19,2)=7),"FT",IF(WEEKDAY(A19,2)=6,"SA","WT"))</f>
        <v>SA</v>
      </c>
      <c r="F19" s="69">
        <f>INDEX('BDEW-H25 Tagessummen'!$C$4:$C$39, MATCH(C19&amp;"_"&amp;E19, 'BDEW-H25 Tagessummen'!$D$4:$D$39, 0))</f>
        <v>2842.9610000000002</v>
      </c>
      <c r="G19" s="69">
        <f t="shared" si="0"/>
        <v>1.256880289408</v>
      </c>
      <c r="H19" s="69">
        <f>Tabelle1[[#This Row],[Profilwert (kWh)]]*Tabelle1[[#This Row],[Dynamisierungsfaktor]]</f>
        <v>3573.2616444556575</v>
      </c>
      <c r="I19" s="69">
        <f>Annahmen!$B$5*(H19/SUM($H$2:$H$366))</f>
        <v>17.874036025154602</v>
      </c>
      <c r="J19" s="69">
        <f>Annahmen!$B$6</f>
        <v>130</v>
      </c>
      <c r="K19" s="69">
        <f t="shared" si="4"/>
        <v>2323.6246832700981</v>
      </c>
      <c r="L19" s="69">
        <f>I19*Annahmen!$B$7</f>
        <v>12.511825217608221</v>
      </c>
      <c r="M19" s="69">
        <f>I19*(1-Annahmen!$B$7)</f>
        <v>5.362210807546381</v>
      </c>
      <c r="N19" s="69">
        <f>Annahmen!$B$8</f>
        <v>78</v>
      </c>
      <c r="O19" s="72">
        <f>INDEX(Quelle_SMARD_Preise_2025!$C$11:$C$375, MATCH($A19,Quelle_SMARD_Preise_2025!$A$11:$A$375, 0))</f>
        <v>134.15</v>
      </c>
      <c r="P19" s="69">
        <f t="shared" si="5"/>
        <v>975.92236697344129</v>
      </c>
      <c r="Q19" s="69">
        <f t="shared" si="9"/>
        <v>719.34057983234709</v>
      </c>
      <c r="R19" s="73">
        <f>Annahmen!$B$9</f>
        <v>0.05</v>
      </c>
      <c r="S19" s="69">
        <f t="shared" si="6"/>
        <v>0.89370180125773013</v>
      </c>
      <c r="T19" s="69">
        <f t="shared" si="7"/>
        <v>1</v>
      </c>
      <c r="U19" s="74">
        <f>$O19+Annahmen!$B$10+(T19*Annahmen!$B$11)</f>
        <v>262.14999999999998</v>
      </c>
      <c r="V19" s="74">
        <f t="shared" si="1"/>
        <v>234.28392719971393</v>
      </c>
      <c r="W19" s="74">
        <f t="shared" si="8"/>
        <v>394.07780926459577</v>
      </c>
    </row>
    <row r="20" spans="1:23" x14ac:dyDescent="0.35">
      <c r="A20" s="70">
        <v>45676</v>
      </c>
      <c r="B20" s="71" t="str">
        <f t="shared" si="2"/>
        <v>So</v>
      </c>
      <c r="C20" s="69">
        <f t="shared" si="3"/>
        <v>1</v>
      </c>
      <c r="D20" s="69">
        <v>19</v>
      </c>
      <c r="E20" s="69" t="str">
        <f>IF(OR(COUNTIF(Feiertage_Hessen_2025!$C$4:$C$13,A20)&gt;0,WEEKDAY(A20,2)=7),"FT",IF(WEEKDAY(A20,2)=6,"SA","WT"))</f>
        <v>FT</v>
      </c>
      <c r="F20" s="69">
        <f>INDEX('BDEW-H25 Tagessummen'!$C$4:$C$39, MATCH(C20&amp;"_"&amp;E20, 'BDEW-H25 Tagessummen'!$D$4:$D$39, 0))</f>
        <v>2903.0330000000008</v>
      </c>
      <c r="G20" s="69">
        <f t="shared" si="0"/>
        <v>1.256701594168</v>
      </c>
      <c r="H20" s="69">
        <f>Tabelle1[[#This Row],[Profilwert (kWh)]]*Tabelle1[[#This Row],[Dynamisierungsfaktor]]</f>
        <v>3648.2461990223123</v>
      </c>
      <c r="I20" s="69">
        <f>Annahmen!$B$5*(H20/SUM($H$2:$H$366))</f>
        <v>18.249120965193672</v>
      </c>
      <c r="J20" s="69">
        <f>Annahmen!$B$6</f>
        <v>130</v>
      </c>
      <c r="K20" s="69">
        <f t="shared" si="4"/>
        <v>2372.3857254751774</v>
      </c>
      <c r="L20" s="69">
        <f>I20*Annahmen!$B$7</f>
        <v>12.77438467563557</v>
      </c>
      <c r="M20" s="69">
        <f>I20*(1-Annahmen!$B$7)</f>
        <v>5.4747362895581029</v>
      </c>
      <c r="N20" s="69">
        <f>Annahmen!$B$8</f>
        <v>78</v>
      </c>
      <c r="O20" s="72">
        <f>INDEX(Quelle_SMARD_Preise_2025!$C$11:$C$375, MATCH($A20,Quelle_SMARD_Preise_2025!$A$11:$A$375, 0))</f>
        <v>128.72</v>
      </c>
      <c r="P20" s="69">
        <f t="shared" si="5"/>
        <v>996.40200469957449</v>
      </c>
      <c r="Q20" s="69">
        <f t="shared" si="9"/>
        <v>704.70805519191902</v>
      </c>
      <c r="R20" s="73">
        <f>Annahmen!$B$9</f>
        <v>0.05</v>
      </c>
      <c r="S20" s="69">
        <f t="shared" si="6"/>
        <v>0.91245604825968363</v>
      </c>
      <c r="T20" s="69">
        <f t="shared" si="7"/>
        <v>1</v>
      </c>
      <c r="U20" s="74">
        <f>$O20+Annahmen!$B$10+(T20*Annahmen!$B$11)</f>
        <v>256.72000000000003</v>
      </c>
      <c r="V20" s="74">
        <f t="shared" si="1"/>
        <v>234.245716709226</v>
      </c>
      <c r="W20" s="74">
        <f t="shared" si="8"/>
        <v>437.02994887445789</v>
      </c>
    </row>
    <row r="21" spans="1:23" x14ac:dyDescent="0.35">
      <c r="A21" s="70">
        <v>45677</v>
      </c>
      <c r="B21" s="71" t="str">
        <f t="shared" si="2"/>
        <v>Mo</v>
      </c>
      <c r="C21" s="69">
        <f t="shared" si="3"/>
        <v>1</v>
      </c>
      <c r="D21" s="69">
        <v>20</v>
      </c>
      <c r="E21" s="69" t="str">
        <f>IF(OR(COUNTIF(Feiertage_Hessen_2025!$C$4:$C$13,A21)&gt;0,WEEKDAY(A21,2)=7),"FT",IF(WEEKDAY(A21,2)=6,"SA","WT"))</f>
        <v>WT</v>
      </c>
      <c r="F21" s="69">
        <f>INDEX('BDEW-H25 Tagessummen'!$C$4:$C$39, MATCH(C21&amp;"_"&amp;E21, 'BDEW-H25 Tagessummen'!$D$4:$D$39, 0))</f>
        <v>2476.4499999999998</v>
      </c>
      <c r="G21" s="69">
        <f t="shared" si="0"/>
        <v>1.25641728</v>
      </c>
      <c r="H21" s="69">
        <f>Tabelle1[[#This Row],[Profilwert (kWh)]]*Tabelle1[[#This Row],[Dynamisierungsfaktor]]</f>
        <v>3111.4545730559998</v>
      </c>
      <c r="I21" s="69">
        <f>Annahmen!$B$5*(H21/SUM($H$2:$H$366))</f>
        <v>15.564001929645181</v>
      </c>
      <c r="J21" s="69">
        <f>Annahmen!$B$6</f>
        <v>130</v>
      </c>
      <c r="K21" s="69">
        <f t="shared" si="4"/>
        <v>2023.3202508538736</v>
      </c>
      <c r="L21" s="69">
        <f>I21*Annahmen!$B$7</f>
        <v>10.894801350751626</v>
      </c>
      <c r="M21" s="69">
        <f>I21*(1-Annahmen!$B$7)</f>
        <v>4.6692005788935553</v>
      </c>
      <c r="N21" s="69">
        <f>Annahmen!$B$8</f>
        <v>78</v>
      </c>
      <c r="O21" s="72">
        <f>INDEX(Quelle_SMARD_Preise_2025!$C$11:$C$375, MATCH($A21,Quelle_SMARD_Preise_2025!$A$11:$A$375, 0))</f>
        <v>231.36</v>
      </c>
      <c r="P21" s="69">
        <f t="shared" si="5"/>
        <v>849.79450535862679</v>
      </c>
      <c r="Q21" s="69">
        <f t="shared" si="9"/>
        <v>1080.266245932813</v>
      </c>
      <c r="R21" s="73">
        <f>Annahmen!$B$9</f>
        <v>0.05</v>
      </c>
      <c r="S21" s="69">
        <f t="shared" si="6"/>
        <v>0.77820009648225907</v>
      </c>
      <c r="T21" s="69">
        <f t="shared" si="7"/>
        <v>0</v>
      </c>
      <c r="U21" s="74">
        <f>$O21+Annahmen!$B$10+(T21*Annahmen!$B$11)</f>
        <v>239.36</v>
      </c>
      <c r="V21" s="74">
        <f t="shared" si="1"/>
        <v>186.26997509399354</v>
      </c>
      <c r="W21" s="74">
        <f t="shared" si="8"/>
        <v>-93.010475531559734</v>
      </c>
    </row>
    <row r="22" spans="1:23" x14ac:dyDescent="0.35">
      <c r="A22" s="70">
        <v>45678</v>
      </c>
      <c r="B22" s="71" t="str">
        <f t="shared" si="2"/>
        <v>Di</v>
      </c>
      <c r="C22" s="69">
        <f t="shared" si="3"/>
        <v>1</v>
      </c>
      <c r="D22" s="69">
        <v>21</v>
      </c>
      <c r="E22" s="69" t="str">
        <f>IF(OR(COUNTIF(Feiertage_Hessen_2025!$C$4:$C$13,A22)&gt;0,WEEKDAY(A22,2)=7),"FT",IF(WEEKDAY(A22,2)=6,"SA","WT"))</f>
        <v>WT</v>
      </c>
      <c r="F22" s="69">
        <f>INDEX('BDEW-H25 Tagessummen'!$C$4:$C$39, MATCH(C22&amp;"_"&amp;E22, 'BDEW-H25 Tagessummen'!$D$4:$D$39, 0))</f>
        <v>2476.4499999999998</v>
      </c>
      <c r="G22" s="69">
        <f t="shared" si="0"/>
        <v>1.2560290834479999</v>
      </c>
      <c r="H22" s="69">
        <f>Tabelle1[[#This Row],[Profilwert (kWh)]]*Tabelle1[[#This Row],[Dynamisierungsfaktor]]</f>
        <v>3110.4932237047992</v>
      </c>
      <c r="I22" s="69">
        <f>Annahmen!$B$5*(H22/SUM($H$2:$H$366))</f>
        <v>15.559193103803175</v>
      </c>
      <c r="J22" s="69">
        <f>Annahmen!$B$6</f>
        <v>130</v>
      </c>
      <c r="K22" s="69">
        <f t="shared" si="4"/>
        <v>2022.6951034944127</v>
      </c>
      <c r="L22" s="69">
        <f>I22*Annahmen!$B$7</f>
        <v>10.891435172662222</v>
      </c>
      <c r="M22" s="69">
        <f>I22*(1-Annahmen!$B$7)</f>
        <v>4.6677579311409527</v>
      </c>
      <c r="N22" s="69">
        <f>Annahmen!$B$8</f>
        <v>78</v>
      </c>
      <c r="O22" s="72">
        <f>INDEX(Quelle_SMARD_Preise_2025!$C$11:$C$375, MATCH($A22,Quelle_SMARD_Preise_2025!$A$11:$A$375, 0))</f>
        <v>168.46</v>
      </c>
      <c r="P22" s="69">
        <f t="shared" si="5"/>
        <v>849.53194346765326</v>
      </c>
      <c r="Q22" s="69">
        <f t="shared" si="9"/>
        <v>786.33050108000498</v>
      </c>
      <c r="R22" s="73">
        <f>Annahmen!$B$9</f>
        <v>0.05</v>
      </c>
      <c r="S22" s="69">
        <f t="shared" si="6"/>
        <v>0.77795965519015875</v>
      </c>
      <c r="T22" s="69">
        <f t="shared" si="7"/>
        <v>0</v>
      </c>
      <c r="U22" s="74">
        <f>$O22+Annahmen!$B$10+(T22*Annahmen!$B$11)</f>
        <v>176.46</v>
      </c>
      <c r="V22" s="74">
        <f t="shared" si="1"/>
        <v>137.27876075485543</v>
      </c>
      <c r="W22" s="74">
        <f t="shared" si="8"/>
        <v>249.55389819189904</v>
      </c>
    </row>
    <row r="23" spans="1:23" x14ac:dyDescent="0.35">
      <c r="A23" s="70">
        <v>45679</v>
      </c>
      <c r="B23" s="71" t="str">
        <f t="shared" si="2"/>
        <v>Mi</v>
      </c>
      <c r="C23" s="69">
        <f t="shared" si="3"/>
        <v>1</v>
      </c>
      <c r="D23" s="69">
        <v>22</v>
      </c>
      <c r="E23" s="69" t="str">
        <f>IF(OR(COUNTIF(Feiertage_Hessen_2025!$C$4:$C$13,A23)&gt;0,WEEKDAY(A23,2)=7),"FT",IF(WEEKDAY(A23,2)=6,"SA","WT"))</f>
        <v>WT</v>
      </c>
      <c r="F23" s="69">
        <f>INDEX('BDEW-H25 Tagessummen'!$C$4:$C$39, MATCH(C23&amp;"_"&amp;E23, 'BDEW-H25 Tagessummen'!$D$4:$D$39, 0))</f>
        <v>2476.4499999999998</v>
      </c>
      <c r="G23" s="69">
        <f t="shared" si="0"/>
        <v>1.255538731648</v>
      </c>
      <c r="H23" s="69">
        <f>Tabelle1[[#This Row],[Profilwert (kWh)]]*Tabelle1[[#This Row],[Dynamisierungsfaktor]]</f>
        <v>3109.2788919896893</v>
      </c>
      <c r="I23" s="69">
        <f>Annahmen!$B$5*(H23/SUM($H$2:$H$366))</f>
        <v>15.553118819023037</v>
      </c>
      <c r="J23" s="69">
        <f>Annahmen!$B$6</f>
        <v>130</v>
      </c>
      <c r="K23" s="69">
        <f t="shared" si="4"/>
        <v>2021.9054464729948</v>
      </c>
      <c r="L23" s="69">
        <f>I23*Annahmen!$B$7</f>
        <v>10.887183173316126</v>
      </c>
      <c r="M23" s="69">
        <f>I23*(1-Annahmen!$B$7)</f>
        <v>4.6659356457069121</v>
      </c>
      <c r="N23" s="69">
        <f>Annahmen!$B$8</f>
        <v>78</v>
      </c>
      <c r="O23" s="72">
        <f>INDEX(Quelle_SMARD_Preise_2025!$C$11:$C$375, MATCH($A23,Quelle_SMARD_Preise_2025!$A$11:$A$375, 0))</f>
        <v>161.44999999999999</v>
      </c>
      <c r="P23" s="69">
        <f t="shared" si="5"/>
        <v>849.20028751865789</v>
      </c>
      <c r="Q23" s="69">
        <f t="shared" si="9"/>
        <v>753.31530999938093</v>
      </c>
      <c r="R23" s="73">
        <f>Annahmen!$B$9</f>
        <v>0.05</v>
      </c>
      <c r="S23" s="69">
        <f t="shared" si="6"/>
        <v>0.77765594095115187</v>
      </c>
      <c r="T23" s="69">
        <f t="shared" si="7"/>
        <v>0</v>
      </c>
      <c r="U23" s="74">
        <f>$O23+Annahmen!$B$10+(T23*Annahmen!$B$11)</f>
        <v>169.45</v>
      </c>
      <c r="V23" s="74">
        <f t="shared" si="1"/>
        <v>131.77379919417268</v>
      </c>
      <c r="W23" s="74">
        <f t="shared" si="8"/>
        <v>287.61604976078326</v>
      </c>
    </row>
    <row r="24" spans="1:23" x14ac:dyDescent="0.35">
      <c r="A24" s="70">
        <v>45680</v>
      </c>
      <c r="B24" s="71" t="str">
        <f t="shared" si="2"/>
        <v>Do</v>
      </c>
      <c r="C24" s="69">
        <f t="shared" si="3"/>
        <v>1</v>
      </c>
      <c r="D24" s="69">
        <v>23</v>
      </c>
      <c r="E24" s="69" t="str">
        <f>IF(OR(COUNTIF(Feiertage_Hessen_2025!$C$4:$C$13,A24)&gt;0,WEEKDAY(A24,2)=7),"FT",IF(WEEKDAY(A24,2)=6,"SA","WT"))</f>
        <v>WT</v>
      </c>
      <c r="F24" s="69">
        <f>INDEX('BDEW-H25 Tagessummen'!$C$4:$C$39, MATCH(C24&amp;"_"&amp;E24, 'BDEW-H25 Tagessummen'!$D$4:$D$39, 0))</f>
        <v>2476.4499999999998</v>
      </c>
      <c r="G24" s="69">
        <f t="shared" si="0"/>
        <v>1.2549479423280001</v>
      </c>
      <c r="H24" s="69">
        <f>Tabelle1[[#This Row],[Profilwert (kWh)]]*Tabelle1[[#This Row],[Dynamisierungsfaktor]]</f>
        <v>3107.8158317781758</v>
      </c>
      <c r="I24" s="69">
        <f>Annahmen!$B$5*(H24/SUM($H$2:$H$366))</f>
        <v>15.545800353842035</v>
      </c>
      <c r="J24" s="69">
        <f>Annahmen!$B$6</f>
        <v>130</v>
      </c>
      <c r="K24" s="69">
        <f t="shared" si="4"/>
        <v>2020.9540459994646</v>
      </c>
      <c r="L24" s="69">
        <f>I24*Annahmen!$B$7</f>
        <v>10.882060247689424</v>
      </c>
      <c r="M24" s="69">
        <f>I24*(1-Annahmen!$B$7)</f>
        <v>4.6637401061526109</v>
      </c>
      <c r="N24" s="69">
        <f>Annahmen!$B$8</f>
        <v>78</v>
      </c>
      <c r="O24" s="72">
        <f>INDEX(Quelle_SMARD_Preise_2025!$C$11:$C$375, MATCH($A24,Quelle_SMARD_Preise_2025!$A$11:$A$375, 0))</f>
        <v>103.94</v>
      </c>
      <c r="P24" s="69">
        <f t="shared" si="5"/>
        <v>848.80069931977505</v>
      </c>
      <c r="Q24" s="69">
        <f t="shared" si="9"/>
        <v>484.74914663350239</v>
      </c>
      <c r="R24" s="73">
        <f>Annahmen!$B$9</f>
        <v>0.05</v>
      </c>
      <c r="S24" s="69">
        <f t="shared" si="6"/>
        <v>0.77729001769210182</v>
      </c>
      <c r="T24" s="69">
        <f t="shared" si="7"/>
        <v>0</v>
      </c>
      <c r="U24" s="74">
        <f>$O24+Annahmen!$B$10+(T24*Annahmen!$B$11)</f>
        <v>111.94</v>
      </c>
      <c r="V24" s="74">
        <f t="shared" si="1"/>
        <v>87.009844580453873</v>
      </c>
      <c r="W24" s="74">
        <f t="shared" si="8"/>
        <v>600.39435546573327</v>
      </c>
    </row>
    <row r="25" spans="1:23" x14ac:dyDescent="0.35">
      <c r="A25" s="70">
        <v>45681</v>
      </c>
      <c r="B25" s="71" t="str">
        <f t="shared" si="2"/>
        <v>Fr</v>
      </c>
      <c r="C25" s="69">
        <f t="shared" si="3"/>
        <v>1</v>
      </c>
      <c r="D25" s="69">
        <v>24</v>
      </c>
      <c r="E25" s="69" t="str">
        <f>IF(OR(COUNTIF(Feiertage_Hessen_2025!$C$4:$C$13,A25)&gt;0,WEEKDAY(A25,2)=7),"FT",IF(WEEKDAY(A25,2)=6,"SA","WT"))</f>
        <v>WT</v>
      </c>
      <c r="F25" s="69">
        <f>INDEX('BDEW-H25 Tagessummen'!$C$4:$C$39, MATCH(C25&amp;"_"&amp;E25, 'BDEW-H25 Tagessummen'!$D$4:$D$39, 0))</f>
        <v>2476.4499999999998</v>
      </c>
      <c r="G25" s="69">
        <f t="shared" si="0"/>
        <v>1.2542584238079999</v>
      </c>
      <c r="H25" s="69">
        <f>Tabelle1[[#This Row],[Profilwert (kWh)]]*Tabelle1[[#This Row],[Dynamisierungsfaktor]]</f>
        <v>3106.1082736393209</v>
      </c>
      <c r="I25" s="69">
        <f>Annahmen!$B$5*(H25/SUM($H$2:$H$366))</f>
        <v>15.537258870254821</v>
      </c>
      <c r="J25" s="69">
        <f>Annahmen!$B$6</f>
        <v>130</v>
      </c>
      <c r="K25" s="69">
        <f t="shared" si="4"/>
        <v>2019.8436531331267</v>
      </c>
      <c r="L25" s="69">
        <f>I25*Annahmen!$B$7</f>
        <v>10.876081209178373</v>
      </c>
      <c r="M25" s="69">
        <f>I25*(1-Annahmen!$B$7)</f>
        <v>4.6611776610764473</v>
      </c>
      <c r="N25" s="69">
        <f>Annahmen!$B$8</f>
        <v>78</v>
      </c>
      <c r="O25" s="72">
        <f>INDEX(Quelle_SMARD_Preise_2025!$C$11:$C$375, MATCH($A25,Quelle_SMARD_Preise_2025!$A$11:$A$375, 0))</f>
        <v>78.900000000000006</v>
      </c>
      <c r="P25" s="69">
        <f t="shared" si="5"/>
        <v>848.33433431591311</v>
      </c>
      <c r="Q25" s="69">
        <f t="shared" si="9"/>
        <v>367.76691745893174</v>
      </c>
      <c r="R25" s="73">
        <f>Annahmen!$B$9</f>
        <v>0.05</v>
      </c>
      <c r="S25" s="69">
        <f t="shared" si="6"/>
        <v>0.7768629435127411</v>
      </c>
      <c r="T25" s="69">
        <f t="shared" si="7"/>
        <v>0</v>
      </c>
      <c r="U25" s="74">
        <f>$O25+Annahmen!$B$10+(T25*Annahmen!$B$11)</f>
        <v>86.9</v>
      </c>
      <c r="V25" s="74">
        <f t="shared" si="1"/>
        <v>67.509389791257206</v>
      </c>
      <c r="W25" s="74">
        <f t="shared" si="8"/>
        <v>736.23301156702473</v>
      </c>
    </row>
    <row r="26" spans="1:23" x14ac:dyDescent="0.35">
      <c r="A26" s="70">
        <v>45682</v>
      </c>
      <c r="B26" s="71" t="str">
        <f t="shared" si="2"/>
        <v>Sa</v>
      </c>
      <c r="C26" s="69">
        <f t="shared" si="3"/>
        <v>1</v>
      </c>
      <c r="D26" s="69">
        <v>25</v>
      </c>
      <c r="E26" s="69" t="str">
        <f>IF(OR(COUNTIF(Feiertage_Hessen_2025!$C$4:$C$13,A26)&gt;0,WEEKDAY(A26,2)=7),"FT",IF(WEEKDAY(A26,2)=6,"SA","WT"))</f>
        <v>SA</v>
      </c>
      <c r="F26" s="69">
        <f>INDEX('BDEW-H25 Tagessummen'!$C$4:$C$39, MATCH(C26&amp;"_"&amp;E26, 'BDEW-H25 Tagessummen'!$D$4:$D$39, 0))</f>
        <v>2842.9610000000002</v>
      </c>
      <c r="G26" s="69">
        <f t="shared" si="0"/>
        <v>1.253471875</v>
      </c>
      <c r="H26" s="69">
        <f>Tabelle1[[#This Row],[Profilwert (kWh)]]*Tabelle1[[#This Row],[Dynamisierungsfaktor]]</f>
        <v>3563.5716552218755</v>
      </c>
      <c r="I26" s="69">
        <f>Annahmen!$B$5*(H26/SUM($H$2:$H$366))</f>
        <v>17.825565122690261</v>
      </c>
      <c r="J26" s="69">
        <f>Annahmen!$B$6</f>
        <v>130</v>
      </c>
      <c r="K26" s="69">
        <f t="shared" si="4"/>
        <v>2317.3234659497339</v>
      </c>
      <c r="L26" s="69">
        <f>I26*Annahmen!$B$7</f>
        <v>12.477895585883182</v>
      </c>
      <c r="M26" s="69">
        <f>I26*(1-Annahmen!$B$7)</f>
        <v>5.3476695368070786</v>
      </c>
      <c r="N26" s="69">
        <f>Annahmen!$B$8</f>
        <v>78</v>
      </c>
      <c r="O26" s="72">
        <f>INDEX(Quelle_SMARD_Preise_2025!$C$11:$C$375, MATCH($A26,Quelle_SMARD_Preise_2025!$A$11:$A$375, 0))</f>
        <v>99.33</v>
      </c>
      <c r="P26" s="69">
        <f t="shared" si="5"/>
        <v>973.27585569888822</v>
      </c>
      <c r="Q26" s="69">
        <f t="shared" si="9"/>
        <v>531.18401509104706</v>
      </c>
      <c r="R26" s="73">
        <f>Annahmen!$B$9</f>
        <v>0.05</v>
      </c>
      <c r="S26" s="69">
        <f t="shared" si="6"/>
        <v>0.89127825613451306</v>
      </c>
      <c r="T26" s="69">
        <f t="shared" si="7"/>
        <v>1</v>
      </c>
      <c r="U26" s="74">
        <f>$O26+Annahmen!$B$10+(T26*Annahmen!$B$11)</f>
        <v>227.32999999999998</v>
      </c>
      <c r="V26" s="74">
        <f t="shared" si="1"/>
        <v>202.61428596705883</v>
      </c>
      <c r="W26" s="74">
        <f t="shared" si="8"/>
        <v>610.2493091927397</v>
      </c>
    </row>
    <row r="27" spans="1:23" x14ac:dyDescent="0.35">
      <c r="A27" s="70">
        <v>45683</v>
      </c>
      <c r="B27" s="71" t="str">
        <f t="shared" si="2"/>
        <v>So</v>
      </c>
      <c r="C27" s="69">
        <f t="shared" si="3"/>
        <v>1</v>
      </c>
      <c r="D27" s="69">
        <v>26</v>
      </c>
      <c r="E27" s="69" t="str">
        <f>IF(OR(COUNTIF(Feiertage_Hessen_2025!$C$4:$C$13,A27)&gt;0,WEEKDAY(A27,2)=7),"FT",IF(WEEKDAY(A27,2)=6,"SA","WT"))</f>
        <v>FT</v>
      </c>
      <c r="F27" s="69">
        <f>INDEX('BDEW-H25 Tagessummen'!$C$4:$C$39, MATCH(C27&amp;"_"&amp;E27, 'BDEW-H25 Tagessummen'!$D$4:$D$39, 0))</f>
        <v>2903.0330000000008</v>
      </c>
      <c r="G27" s="69">
        <f t="shared" si="0"/>
        <v>1.252589985408</v>
      </c>
      <c r="H27" s="69">
        <f>Tabelle1[[#This Row],[Profilwert (kWh)]]*Tabelle1[[#This Row],[Dynamisierungsfaktor]]</f>
        <v>3636.3100631089437</v>
      </c>
      <c r="I27" s="69">
        <f>Annahmen!$B$5*(H27/SUM($H$2:$H$366))</f>
        <v>18.1894144716466</v>
      </c>
      <c r="J27" s="69">
        <f>Annahmen!$B$6</f>
        <v>130</v>
      </c>
      <c r="K27" s="69">
        <f t="shared" si="4"/>
        <v>2364.6238813140581</v>
      </c>
      <c r="L27" s="69">
        <f>I27*Annahmen!$B$7</f>
        <v>12.732590130152619</v>
      </c>
      <c r="M27" s="69">
        <f>I27*(1-Annahmen!$B$7)</f>
        <v>5.4568243414939808</v>
      </c>
      <c r="N27" s="69">
        <f>Annahmen!$B$8</f>
        <v>78</v>
      </c>
      <c r="O27" s="72">
        <f>INDEX(Quelle_SMARD_Preise_2025!$C$11:$C$375, MATCH($A27,Quelle_SMARD_Preise_2025!$A$11:$A$375, 0))</f>
        <v>101.46</v>
      </c>
      <c r="P27" s="69">
        <f t="shared" si="5"/>
        <v>993.14203015190435</v>
      </c>
      <c r="Q27" s="69">
        <f t="shared" si="9"/>
        <v>553.64939768797922</v>
      </c>
      <c r="R27" s="73">
        <f>Annahmen!$B$9</f>
        <v>0.05</v>
      </c>
      <c r="S27" s="69">
        <f t="shared" si="6"/>
        <v>0.90947072358233005</v>
      </c>
      <c r="T27" s="69">
        <f t="shared" si="7"/>
        <v>1</v>
      </c>
      <c r="U27" s="74">
        <f>$O27+Annahmen!$B$10+(T27*Annahmen!$B$11)</f>
        <v>229.45999999999998</v>
      </c>
      <c r="V27" s="74">
        <f t="shared" si="1"/>
        <v>208.68715223320143</v>
      </c>
      <c r="W27" s="74">
        <f t="shared" si="8"/>
        <v>609.14530124097314</v>
      </c>
    </row>
    <row r="28" spans="1:23" x14ac:dyDescent="0.35">
      <c r="A28" s="70">
        <v>45684</v>
      </c>
      <c r="B28" s="71" t="str">
        <f t="shared" si="2"/>
        <v>Mo</v>
      </c>
      <c r="C28" s="69">
        <f t="shared" si="3"/>
        <v>1</v>
      </c>
      <c r="D28" s="69">
        <v>27</v>
      </c>
      <c r="E28" s="69" t="str">
        <f>IF(OR(COUNTIF(Feiertage_Hessen_2025!$C$4:$C$13,A28)&gt;0,WEEKDAY(A28,2)=7),"FT",IF(WEEKDAY(A28,2)=6,"SA","WT"))</f>
        <v>WT</v>
      </c>
      <c r="F28" s="69">
        <f>INDEX('BDEW-H25 Tagessummen'!$C$4:$C$39, MATCH(C28&amp;"_"&amp;E28, 'BDEW-H25 Tagessummen'!$D$4:$D$39, 0))</f>
        <v>2476.4499999999998</v>
      </c>
      <c r="G28" s="69">
        <f t="shared" si="0"/>
        <v>1.2516144351280001</v>
      </c>
      <c r="H28" s="69">
        <f>Tabelle1[[#This Row],[Profilwert (kWh)]]*Tabelle1[[#This Row],[Dynamisierungsfaktor]]</f>
        <v>3099.5605678727356</v>
      </c>
      <c r="I28" s="69">
        <f>Annahmen!$B$5*(H28/SUM($H$2:$H$366))</f>
        <v>15.5045061808637</v>
      </c>
      <c r="J28" s="69">
        <f>Annahmen!$B$6</f>
        <v>130</v>
      </c>
      <c r="K28" s="69">
        <f t="shared" si="4"/>
        <v>2015.585803512281</v>
      </c>
      <c r="L28" s="69">
        <f>I28*Annahmen!$B$7</f>
        <v>10.853154326604589</v>
      </c>
      <c r="M28" s="69">
        <f>I28*(1-Annahmen!$B$7)</f>
        <v>4.6513518542591106</v>
      </c>
      <c r="N28" s="69">
        <f>Annahmen!$B$8</f>
        <v>78</v>
      </c>
      <c r="O28" s="72">
        <f>INDEX(Quelle_SMARD_Preise_2025!$C$11:$C$375, MATCH($A28,Quelle_SMARD_Preise_2025!$A$11:$A$375, 0))</f>
        <v>60.17</v>
      </c>
      <c r="P28" s="69">
        <f t="shared" si="5"/>
        <v>846.54603747515796</v>
      </c>
      <c r="Q28" s="69">
        <f t="shared" si="9"/>
        <v>279.8718410707707</v>
      </c>
      <c r="R28" s="73">
        <f>Annahmen!$B$9</f>
        <v>0.05</v>
      </c>
      <c r="S28" s="69">
        <f t="shared" si="6"/>
        <v>0.7752253090431851</v>
      </c>
      <c r="T28" s="69">
        <f t="shared" si="7"/>
        <v>0</v>
      </c>
      <c r="U28" s="74">
        <f>$O28+Annahmen!$B$10+(T28*Annahmen!$B$11)</f>
        <v>68.17</v>
      </c>
      <c r="V28" s="74">
        <f t="shared" si="1"/>
        <v>52.847109317473929</v>
      </c>
      <c r="W28" s="74">
        <f t="shared" si="8"/>
        <v>836.32081564887858</v>
      </c>
    </row>
    <row r="29" spans="1:23" x14ac:dyDescent="0.35">
      <c r="A29" s="70">
        <v>45685</v>
      </c>
      <c r="B29" s="71" t="str">
        <f t="shared" si="2"/>
        <v>Di</v>
      </c>
      <c r="C29" s="69">
        <f t="shared" si="3"/>
        <v>1</v>
      </c>
      <c r="D29" s="69">
        <v>28</v>
      </c>
      <c r="E29" s="69" t="str">
        <f>IF(OR(COUNTIF(Feiertage_Hessen_2025!$C$4:$C$13,A29)&gt;0,WEEKDAY(A29,2)=7),"FT",IF(WEEKDAY(A29,2)=6,"SA","WT"))</f>
        <v>WT</v>
      </c>
      <c r="F29" s="69">
        <f>INDEX('BDEW-H25 Tagessummen'!$C$4:$C$39, MATCH(C29&amp;"_"&amp;E29, 'BDEW-H25 Tagessummen'!$D$4:$D$39, 0))</f>
        <v>2476.4499999999998</v>
      </c>
      <c r="G29" s="69">
        <f t="shared" si="0"/>
        <v>1.2505468948480001</v>
      </c>
      <c r="H29" s="69">
        <f>Tabelle1[[#This Row],[Profilwert (kWh)]]*Tabelle1[[#This Row],[Dynamisierungsfaktor]]</f>
        <v>3096.9168577463297</v>
      </c>
      <c r="I29" s="69">
        <f>Annahmen!$B$5*(H29/SUM($H$2:$H$366))</f>
        <v>15.491281912746429</v>
      </c>
      <c r="J29" s="69">
        <f>Annahmen!$B$6</f>
        <v>130</v>
      </c>
      <c r="K29" s="69">
        <f t="shared" si="4"/>
        <v>2013.8666486570357</v>
      </c>
      <c r="L29" s="69">
        <f>I29*Annahmen!$B$7</f>
        <v>10.843897338922499</v>
      </c>
      <c r="M29" s="69">
        <f>I29*(1-Annahmen!$B$7)</f>
        <v>4.6473845738239294</v>
      </c>
      <c r="N29" s="69">
        <f>Annahmen!$B$8</f>
        <v>78</v>
      </c>
      <c r="O29" s="72">
        <f>INDEX(Quelle_SMARD_Preise_2025!$C$11:$C$375, MATCH($A29,Quelle_SMARD_Preise_2025!$A$11:$A$375, 0))</f>
        <v>106.37</v>
      </c>
      <c r="P29" s="69">
        <f t="shared" si="5"/>
        <v>845.82399243595489</v>
      </c>
      <c r="Q29" s="69">
        <f t="shared" si="9"/>
        <v>494.34229711765141</v>
      </c>
      <c r="R29" s="73">
        <f>Annahmen!$B$9</f>
        <v>0.05</v>
      </c>
      <c r="S29" s="69">
        <f t="shared" si="6"/>
        <v>0.77456409563732143</v>
      </c>
      <c r="T29" s="69">
        <f t="shared" si="7"/>
        <v>0</v>
      </c>
      <c r="U29" s="74">
        <f>$O29+Annahmen!$B$10+(T29*Annahmen!$B$11)</f>
        <v>114.37</v>
      </c>
      <c r="V29" s="74">
        <f t="shared" si="1"/>
        <v>88.586895618040458</v>
      </c>
      <c r="W29" s="74">
        <f t="shared" si="8"/>
        <v>585.11346348538905</v>
      </c>
    </row>
    <row r="30" spans="1:23" x14ac:dyDescent="0.35">
      <c r="A30" s="70">
        <v>45686</v>
      </c>
      <c r="B30" s="71" t="str">
        <f t="shared" si="2"/>
        <v>Mi</v>
      </c>
      <c r="C30" s="69">
        <f t="shared" si="3"/>
        <v>1</v>
      </c>
      <c r="D30" s="69">
        <v>29</v>
      </c>
      <c r="E30" s="69" t="str">
        <f>IF(OR(COUNTIF(Feiertage_Hessen_2025!$C$4:$C$13,A30)&gt;0,WEEKDAY(A30,2)=7),"FT",IF(WEEKDAY(A30,2)=6,"SA","WT"))</f>
        <v>WT</v>
      </c>
      <c r="F30" s="69">
        <f>INDEX('BDEW-H25 Tagessummen'!$C$4:$C$39, MATCH(C30&amp;"_"&amp;E30, 'BDEW-H25 Tagessummen'!$D$4:$D$39, 0))</f>
        <v>2476.4499999999998</v>
      </c>
      <c r="G30" s="69">
        <f t="shared" si="0"/>
        <v>1.249389025848</v>
      </c>
      <c r="H30" s="69">
        <f>Tabelle1[[#This Row],[Profilwert (kWh)]]*Tabelle1[[#This Row],[Dynamisierungsfaktor]]</f>
        <v>3094.0494530612796</v>
      </c>
      <c r="I30" s="69">
        <f>Annahmen!$B$5*(H30/SUM($H$2:$H$366))</f>
        <v>15.476938688057352</v>
      </c>
      <c r="J30" s="69">
        <f>Annahmen!$B$6</f>
        <v>130</v>
      </c>
      <c r="K30" s="69">
        <f t="shared" si="4"/>
        <v>2012.0020294474557</v>
      </c>
      <c r="L30" s="69">
        <f>I30*Annahmen!$B$7</f>
        <v>10.833857081640145</v>
      </c>
      <c r="M30" s="69">
        <f>I30*(1-Annahmen!$B$7)</f>
        <v>4.6430816064172067</v>
      </c>
      <c r="N30" s="69">
        <f>Annahmen!$B$8</f>
        <v>78</v>
      </c>
      <c r="O30" s="72">
        <f>INDEX(Quelle_SMARD_Preise_2025!$C$11:$C$375, MATCH($A30,Quelle_SMARD_Preise_2025!$A$11:$A$375, 0))</f>
        <v>108.13</v>
      </c>
      <c r="P30" s="69">
        <f t="shared" si="5"/>
        <v>845.04085236793139</v>
      </c>
      <c r="Q30" s="69">
        <f t="shared" si="9"/>
        <v>502.05641410189253</v>
      </c>
      <c r="R30" s="73">
        <f>Annahmen!$B$9</f>
        <v>0.05</v>
      </c>
      <c r="S30" s="69">
        <f t="shared" si="6"/>
        <v>0.77384693440286767</v>
      </c>
      <c r="T30" s="69">
        <f t="shared" si="7"/>
        <v>0</v>
      </c>
      <c r="U30" s="74">
        <f>$O30+Annahmen!$B$10+(T30*Annahmen!$B$11)</f>
        <v>116.13</v>
      </c>
      <c r="V30" s="74">
        <f t="shared" si="1"/>
        <v>89.866844492205018</v>
      </c>
      <c r="W30" s="74">
        <f t="shared" si="8"/>
        <v>575.03791848542676</v>
      </c>
    </row>
    <row r="31" spans="1:23" x14ac:dyDescent="0.35">
      <c r="A31" s="70">
        <v>45687</v>
      </c>
      <c r="B31" s="71" t="str">
        <f t="shared" si="2"/>
        <v>Do</v>
      </c>
      <c r="C31" s="69">
        <f t="shared" si="3"/>
        <v>1</v>
      </c>
      <c r="D31" s="69">
        <v>30</v>
      </c>
      <c r="E31" s="69" t="str">
        <f>IF(OR(COUNTIF(Feiertage_Hessen_2025!$C$4:$C$13,A31)&gt;0,WEEKDAY(A31,2)=7),"FT",IF(WEEKDAY(A31,2)=6,"SA","WT"))</f>
        <v>WT</v>
      </c>
      <c r="F31" s="69">
        <f>INDEX('BDEW-H25 Tagessummen'!$C$4:$C$39, MATCH(C31&amp;"_"&amp;E31, 'BDEW-H25 Tagessummen'!$D$4:$D$39, 0))</f>
        <v>2476.4499999999998</v>
      </c>
      <c r="G31" s="69">
        <f t="shared" si="0"/>
        <v>1.2481424800000001</v>
      </c>
      <c r="H31" s="69">
        <f>Tabelle1[[#This Row],[Profilwert (kWh)]]*Tabelle1[[#This Row],[Dynamisierungsfaktor]]</f>
        <v>3090.9624445959998</v>
      </c>
      <c r="I31" s="69">
        <f>Annahmen!$B$5*(H31/SUM($H$2:$H$366))</f>
        <v>15.46149696953557</v>
      </c>
      <c r="J31" s="69">
        <f>Annahmen!$B$6</f>
        <v>130</v>
      </c>
      <c r="K31" s="69">
        <f t="shared" si="4"/>
        <v>2009.9946060396242</v>
      </c>
      <c r="L31" s="69">
        <f>I31*Annahmen!$B$7</f>
        <v>10.823047878674899</v>
      </c>
      <c r="M31" s="69">
        <f>I31*(1-Annahmen!$B$7)</f>
        <v>4.6384490908606715</v>
      </c>
      <c r="N31" s="69">
        <f>Annahmen!$B$8</f>
        <v>78</v>
      </c>
      <c r="O31" s="72">
        <f>INDEX(Quelle_SMARD_Preise_2025!$C$11:$C$375, MATCH($A31,Quelle_SMARD_Preise_2025!$A$11:$A$375, 0))</f>
        <v>131.53</v>
      </c>
      <c r="P31" s="69">
        <f t="shared" si="5"/>
        <v>844.19773453664209</v>
      </c>
      <c r="Q31" s="69">
        <f t="shared" si="9"/>
        <v>610.09520892090416</v>
      </c>
      <c r="R31" s="73">
        <f>Annahmen!$B$9</f>
        <v>0.05</v>
      </c>
      <c r="S31" s="69">
        <f t="shared" si="6"/>
        <v>0.77307484847677854</v>
      </c>
      <c r="T31" s="69">
        <f t="shared" si="7"/>
        <v>0</v>
      </c>
      <c r="U31" s="74">
        <f>$O31+Annahmen!$B$10+(T31*Annahmen!$B$11)</f>
        <v>139.53</v>
      </c>
      <c r="V31" s="74">
        <f t="shared" si="1"/>
        <v>107.86713360796492</v>
      </c>
      <c r="W31" s="74">
        <f t="shared" si="8"/>
        <v>447.83452897411291</v>
      </c>
    </row>
    <row r="32" spans="1:23" x14ac:dyDescent="0.35">
      <c r="A32" s="70">
        <v>45688</v>
      </c>
      <c r="B32" s="71" t="str">
        <f t="shared" si="2"/>
        <v>Fr</v>
      </c>
      <c r="C32" s="69">
        <f t="shared" si="3"/>
        <v>1</v>
      </c>
      <c r="D32" s="69">
        <v>31</v>
      </c>
      <c r="E32" s="69" t="str">
        <f>IF(OR(COUNTIF(Feiertage_Hessen_2025!$C$4:$C$13,A32)&gt;0,WEEKDAY(A32,2)=7),"FT",IF(WEEKDAY(A32,2)=6,"SA","WT"))</f>
        <v>WT</v>
      </c>
      <c r="F32" s="69">
        <f>INDEX('BDEW-H25 Tagessummen'!$C$4:$C$39, MATCH(C32&amp;"_"&amp;E32, 'BDEW-H25 Tagessummen'!$D$4:$D$39, 0))</f>
        <v>2476.4499999999998</v>
      </c>
      <c r="G32" s="69">
        <f t="shared" si="0"/>
        <v>1.246808899768</v>
      </c>
      <c r="H32" s="69">
        <f>Tabelle1[[#This Row],[Profilwert (kWh)]]*Tabelle1[[#This Row],[Dynamisierungsfaktor]]</f>
        <v>3087.6598998304635</v>
      </c>
      <c r="I32" s="69">
        <f>Annahmen!$B$5*(H32/SUM($H$2:$H$366))</f>
        <v>15.444977103377582</v>
      </c>
      <c r="J32" s="69">
        <f>Annahmen!$B$6</f>
        <v>130</v>
      </c>
      <c r="K32" s="69">
        <f t="shared" si="4"/>
        <v>2007.8470234390857</v>
      </c>
      <c r="L32" s="69">
        <f>I32*Annahmen!$B$7</f>
        <v>10.811483972364307</v>
      </c>
      <c r="M32" s="69">
        <f>I32*(1-Annahmen!$B$7)</f>
        <v>4.6334931310132754</v>
      </c>
      <c r="N32" s="69">
        <f>Annahmen!$B$8</f>
        <v>78</v>
      </c>
      <c r="O32" s="72">
        <f>INDEX(Quelle_SMARD_Preise_2025!$C$11:$C$375, MATCH($A32,Quelle_SMARD_Preise_2025!$A$11:$A$375, 0))</f>
        <v>141.02000000000001</v>
      </c>
      <c r="P32" s="69">
        <f t="shared" si="5"/>
        <v>843.29574984441592</v>
      </c>
      <c r="Q32" s="69">
        <f t="shared" si="9"/>
        <v>653.41520133549216</v>
      </c>
      <c r="R32" s="73">
        <f>Annahmen!$B$9</f>
        <v>0.05</v>
      </c>
      <c r="S32" s="69">
        <f t="shared" si="6"/>
        <v>0.77224885516887909</v>
      </c>
      <c r="T32" s="69">
        <f t="shared" si="7"/>
        <v>0</v>
      </c>
      <c r="U32" s="74">
        <f>$O32+Annahmen!$B$10+(T32*Annahmen!$B$11)</f>
        <v>149.02000000000001</v>
      </c>
      <c r="V32" s="74">
        <f t="shared" si="1"/>
        <v>115.08052439726637</v>
      </c>
      <c r="W32" s="74">
        <f t="shared" si="8"/>
        <v>396.05554786191124</v>
      </c>
    </row>
    <row r="33" spans="1:23" x14ac:dyDescent="0.35">
      <c r="A33" s="70">
        <v>45689</v>
      </c>
      <c r="B33" s="71" t="str">
        <f t="shared" si="2"/>
        <v>Sa</v>
      </c>
      <c r="C33" s="69">
        <f t="shared" si="3"/>
        <v>2</v>
      </c>
      <c r="D33" s="69">
        <v>32</v>
      </c>
      <c r="E33" s="69" t="str">
        <f>IF(OR(COUNTIF(Feiertage_Hessen_2025!$C$4:$C$13,A33)&gt;0,WEEKDAY(A33,2)=7),"FT",IF(WEEKDAY(A33,2)=6,"SA","WT"))</f>
        <v>SA</v>
      </c>
      <c r="F33" s="69">
        <f>INDEX('BDEW-H25 Tagessummen'!$C$4:$C$39, MATCH(C33&amp;"_"&amp;E33, 'BDEW-H25 Tagessummen'!$D$4:$D$39, 0))</f>
        <v>2844.567</v>
      </c>
      <c r="G33" s="69">
        <f t="shared" si="0"/>
        <v>1.2453899182079999</v>
      </c>
      <c r="H33" s="69">
        <f>Tabelle1[[#This Row],[Profilwert (kWh)]]*Tabelle1[[#This Row],[Dynamisierungsfaktor]]</f>
        <v>3542.5950634671758</v>
      </c>
      <c r="I33" s="69">
        <f>Annahmen!$B$5*(H33/SUM($H$2:$H$366))</f>
        <v>17.720636798370595</v>
      </c>
      <c r="J33" s="69">
        <f>Annahmen!$B$6</f>
        <v>130</v>
      </c>
      <c r="K33" s="69">
        <f t="shared" si="4"/>
        <v>2303.6827837881774</v>
      </c>
      <c r="L33" s="69">
        <f>I33*Annahmen!$B$7</f>
        <v>12.404445758859415</v>
      </c>
      <c r="M33" s="69">
        <f>I33*(1-Annahmen!$B$7)</f>
        <v>5.3161910395111791</v>
      </c>
      <c r="N33" s="69">
        <f>Annahmen!$B$8</f>
        <v>78</v>
      </c>
      <c r="O33" s="72">
        <f>INDEX(Quelle_SMARD_Preise_2025!$C$11:$C$375, MATCH($A33,Quelle_SMARD_Preise_2025!$A$11:$A$375, 0))</f>
        <v>135.44999999999999</v>
      </c>
      <c r="P33" s="69">
        <f t="shared" si="5"/>
        <v>967.5467691910344</v>
      </c>
      <c r="Q33" s="69">
        <f t="shared" si="9"/>
        <v>720.07807630178911</v>
      </c>
      <c r="R33" s="73">
        <f>Annahmen!$B$9</f>
        <v>0.05</v>
      </c>
      <c r="S33" s="69">
        <f t="shared" si="6"/>
        <v>0.88603183991852985</v>
      </c>
      <c r="T33" s="69">
        <f t="shared" si="7"/>
        <v>1</v>
      </c>
      <c r="U33" s="74">
        <f>$O33+Annahmen!$B$10+(T33*Annahmen!$B$11)</f>
        <v>263.45</v>
      </c>
      <c r="V33" s="74">
        <f t="shared" si="1"/>
        <v>233.42508822653667</v>
      </c>
      <c r="W33" s="74">
        <f t="shared" si="8"/>
        <v>382.63285006881722</v>
      </c>
    </row>
    <row r="34" spans="1:23" x14ac:dyDescent="0.35">
      <c r="A34" s="70">
        <v>45690</v>
      </c>
      <c r="B34" s="71" t="str">
        <f t="shared" si="2"/>
        <v>So</v>
      </c>
      <c r="C34" s="69">
        <f t="shared" si="3"/>
        <v>2</v>
      </c>
      <c r="D34" s="69">
        <v>33</v>
      </c>
      <c r="E34" s="69" t="str">
        <f>IF(OR(COUNTIF(Feiertage_Hessen_2025!$C$4:$C$13,A34)&gt;0,WEEKDAY(A34,2)=7),"FT",IF(WEEKDAY(A34,2)=6,"SA","WT"))</f>
        <v>FT</v>
      </c>
      <c r="F34" s="69">
        <f>INDEX('BDEW-H25 Tagessummen'!$C$4:$C$39, MATCH(C34&amp;"_"&amp;E34, 'BDEW-H25 Tagessummen'!$D$4:$D$39, 0))</f>
        <v>2944.4780000000001</v>
      </c>
      <c r="G34" s="69">
        <f t="shared" si="0"/>
        <v>1.2438871589680001</v>
      </c>
      <c r="H34" s="69">
        <f>Tabelle1[[#This Row],[Profilwert (kWh)]]*Tabelle1[[#This Row],[Dynamisierungsfaktor]]</f>
        <v>3662.5983740637789</v>
      </c>
      <c r="I34" s="69">
        <f>Annahmen!$B$5*(H34/SUM($H$2:$H$366))</f>
        <v>18.320912879488148</v>
      </c>
      <c r="J34" s="69">
        <f>Annahmen!$B$6</f>
        <v>130</v>
      </c>
      <c r="K34" s="69">
        <f t="shared" si="4"/>
        <v>2381.7186743334591</v>
      </c>
      <c r="L34" s="69">
        <f>I34*Annahmen!$B$7</f>
        <v>12.824639015641702</v>
      </c>
      <c r="M34" s="69">
        <f>I34*(1-Annahmen!$B$7)</f>
        <v>5.4962738638464455</v>
      </c>
      <c r="N34" s="69">
        <f>Annahmen!$B$8</f>
        <v>78</v>
      </c>
      <c r="O34" s="72">
        <f>INDEX(Quelle_SMARD_Preise_2025!$C$11:$C$375, MATCH($A34,Quelle_SMARD_Preise_2025!$A$11:$A$375, 0))</f>
        <v>137.13</v>
      </c>
      <c r="P34" s="69">
        <f t="shared" si="5"/>
        <v>1000.3218432200528</v>
      </c>
      <c r="Q34" s="69">
        <f t="shared" si="9"/>
        <v>753.70403494926302</v>
      </c>
      <c r="R34" s="73">
        <f>Annahmen!$B$9</f>
        <v>0.05</v>
      </c>
      <c r="S34" s="69">
        <f t="shared" si="6"/>
        <v>0.91604564397440746</v>
      </c>
      <c r="T34" s="69">
        <f t="shared" si="7"/>
        <v>1</v>
      </c>
      <c r="U34" s="74">
        <f>$O34+Annahmen!$B$10+(T34*Annahmen!$B$11)</f>
        <v>265.13</v>
      </c>
      <c r="V34" s="74">
        <f t="shared" si="1"/>
        <v>242.87118158693465</v>
      </c>
      <c r="W34" s="74">
        <f t="shared" si="8"/>
        <v>384.82161457720861</v>
      </c>
    </row>
    <row r="35" spans="1:23" x14ac:dyDescent="0.35">
      <c r="A35" s="70">
        <v>45691</v>
      </c>
      <c r="B35" s="71" t="str">
        <f t="shared" si="2"/>
        <v>Mo</v>
      </c>
      <c r="C35" s="69">
        <f t="shared" si="3"/>
        <v>2</v>
      </c>
      <c r="D35" s="69">
        <v>34</v>
      </c>
      <c r="E35" s="69" t="str">
        <f>IF(OR(COUNTIF(Feiertage_Hessen_2025!$C$4:$C$13,A35)&gt;0,WEEKDAY(A35,2)=7),"FT",IF(WEEKDAY(A35,2)=6,"SA","WT"))</f>
        <v>WT</v>
      </c>
      <c r="F35" s="69">
        <f>INDEX('BDEW-H25 Tagessummen'!$C$4:$C$39, MATCH(C35&amp;"_"&amp;E35, 'BDEW-H25 Tagessummen'!$D$4:$D$39, 0))</f>
        <v>2448.5159999999996</v>
      </c>
      <c r="G35" s="69">
        <f t="shared" si="0"/>
        <v>1.2423022362880001</v>
      </c>
      <c r="H35" s="69">
        <f>Tabelle1[[#This Row],[Profilwert (kWh)]]*Tabelle1[[#This Row],[Dynamisierungsfaktor]]</f>
        <v>3041.7969023869482</v>
      </c>
      <c r="I35" s="69">
        <f>Annahmen!$B$5*(H35/SUM($H$2:$H$366))</f>
        <v>15.215562929411643</v>
      </c>
      <c r="J35" s="69">
        <f>Annahmen!$B$6</f>
        <v>130</v>
      </c>
      <c r="K35" s="69">
        <f t="shared" si="4"/>
        <v>1978.0231808235135</v>
      </c>
      <c r="L35" s="69">
        <f>I35*Annahmen!$B$7</f>
        <v>10.65089405058815</v>
      </c>
      <c r="M35" s="69">
        <f>I35*(1-Annahmen!$B$7)</f>
        <v>4.5646688788234933</v>
      </c>
      <c r="N35" s="69">
        <f>Annahmen!$B$8</f>
        <v>78</v>
      </c>
      <c r="O35" s="72">
        <f>INDEX(Quelle_SMARD_Preise_2025!$C$11:$C$375, MATCH($A35,Quelle_SMARD_Preise_2025!$A$11:$A$375, 0))</f>
        <v>154.51</v>
      </c>
      <c r="P35" s="69">
        <f t="shared" si="5"/>
        <v>830.76973594587571</v>
      </c>
      <c r="Q35" s="69">
        <f t="shared" si="9"/>
        <v>705.28698846701786</v>
      </c>
      <c r="R35" s="73">
        <f>Annahmen!$B$9</f>
        <v>0.05</v>
      </c>
      <c r="S35" s="69">
        <f t="shared" si="6"/>
        <v>0.76077814647058217</v>
      </c>
      <c r="T35" s="69">
        <f t="shared" si="7"/>
        <v>0</v>
      </c>
      <c r="U35" s="74">
        <f>$O35+Annahmen!$B$10+(T35*Annahmen!$B$11)</f>
        <v>162.51</v>
      </c>
      <c r="V35" s="74">
        <f t="shared" si="1"/>
        <v>123.63405658293431</v>
      </c>
      <c r="W35" s="74">
        <f t="shared" si="8"/>
        <v>318.33239982768561</v>
      </c>
    </row>
    <row r="36" spans="1:23" x14ac:dyDescent="0.35">
      <c r="A36" s="70">
        <v>45692</v>
      </c>
      <c r="B36" s="71" t="str">
        <f t="shared" si="2"/>
        <v>Di</v>
      </c>
      <c r="C36" s="69">
        <f t="shared" si="3"/>
        <v>2</v>
      </c>
      <c r="D36" s="69">
        <v>35</v>
      </c>
      <c r="E36" s="69" t="str">
        <f>IF(OR(COUNTIF(Feiertage_Hessen_2025!$C$4:$C$13,A36)&gt;0,WEEKDAY(A36,2)=7),"FT",IF(WEEKDAY(A36,2)=6,"SA","WT"))</f>
        <v>WT</v>
      </c>
      <c r="F36" s="69">
        <f>INDEX('BDEW-H25 Tagessummen'!$C$4:$C$39, MATCH(C36&amp;"_"&amp;E36, 'BDEW-H25 Tagessummen'!$D$4:$D$39, 0))</f>
        <v>2448.5159999999996</v>
      </c>
      <c r="G36" s="69">
        <f t="shared" si="0"/>
        <v>1.2406367549999999</v>
      </c>
      <c r="H36" s="69">
        <f>Tabelle1[[#This Row],[Profilwert (kWh)]]*Tabelle1[[#This Row],[Dynamisierungsfaktor]]</f>
        <v>3037.7189448055792</v>
      </c>
      <c r="I36" s="69">
        <f>Annahmen!$B$5*(H36/SUM($H$2:$H$366))</f>
        <v>15.195164322208742</v>
      </c>
      <c r="J36" s="69">
        <f>Annahmen!$B$6</f>
        <v>130</v>
      </c>
      <c r="K36" s="69">
        <f t="shared" si="4"/>
        <v>1975.3713618871363</v>
      </c>
      <c r="L36" s="69">
        <f>I36*Annahmen!$B$7</f>
        <v>10.636615025546119</v>
      </c>
      <c r="M36" s="69">
        <f>I36*(1-Annahmen!$B$7)</f>
        <v>4.5585492966626235</v>
      </c>
      <c r="N36" s="69">
        <f>Annahmen!$B$8</f>
        <v>78</v>
      </c>
      <c r="O36" s="72">
        <f>INDEX(Quelle_SMARD_Preise_2025!$C$11:$C$375, MATCH($A36,Quelle_SMARD_Preise_2025!$A$11:$A$375, 0))</f>
        <v>142.41999999999999</v>
      </c>
      <c r="P36" s="69">
        <f t="shared" si="5"/>
        <v>829.6559719925973</v>
      </c>
      <c r="Q36" s="69">
        <f t="shared" si="9"/>
        <v>649.22859083069079</v>
      </c>
      <c r="R36" s="73">
        <f>Annahmen!$B$9</f>
        <v>0.05</v>
      </c>
      <c r="S36" s="69">
        <f t="shared" si="6"/>
        <v>0.75975821611043715</v>
      </c>
      <c r="T36" s="69">
        <f t="shared" si="7"/>
        <v>0</v>
      </c>
      <c r="U36" s="74">
        <f>$O36+Annahmen!$B$10+(T36*Annahmen!$B$11)</f>
        <v>150.41999999999999</v>
      </c>
      <c r="V36" s="74">
        <f t="shared" si="1"/>
        <v>114.28283086733195</v>
      </c>
      <c r="W36" s="74">
        <f t="shared" si="8"/>
        <v>382.2039681965162</v>
      </c>
    </row>
    <row r="37" spans="1:23" x14ac:dyDescent="0.35">
      <c r="A37" s="70">
        <v>45693</v>
      </c>
      <c r="B37" s="71" t="str">
        <f t="shared" si="2"/>
        <v>Mi</v>
      </c>
      <c r="C37" s="69">
        <f t="shared" si="3"/>
        <v>2</v>
      </c>
      <c r="D37" s="69">
        <v>36</v>
      </c>
      <c r="E37" s="69" t="str">
        <f>IF(OR(COUNTIF(Feiertage_Hessen_2025!$C$4:$C$13,A37)&gt;0,WEEKDAY(A37,2)=7),"FT",IF(WEEKDAY(A37,2)=6,"SA","WT"))</f>
        <v>WT</v>
      </c>
      <c r="F37" s="69">
        <f>INDEX('BDEW-H25 Tagessummen'!$C$4:$C$39, MATCH(C37&amp;"_"&amp;E37, 'BDEW-H25 Tagessummen'!$D$4:$D$39, 0))</f>
        <v>2448.5159999999996</v>
      </c>
      <c r="G37" s="69">
        <f t="shared" si="0"/>
        <v>1.2388923105280001</v>
      </c>
      <c r="H37" s="69">
        <f>Tabelle1[[#This Row],[Profilwert (kWh)]]*Tabelle1[[#This Row],[Dynamisierungsfaktor]]</f>
        <v>3033.4476446047761</v>
      </c>
      <c r="I37" s="69">
        <f>Annahmen!$B$5*(H37/SUM($H$2:$H$366))</f>
        <v>15.173798583771461</v>
      </c>
      <c r="J37" s="69">
        <f>Annahmen!$B$6</f>
        <v>130</v>
      </c>
      <c r="K37" s="69">
        <f t="shared" si="4"/>
        <v>1972.59381589029</v>
      </c>
      <c r="L37" s="69">
        <f>I37*Annahmen!$B$7</f>
        <v>10.621659008640021</v>
      </c>
      <c r="M37" s="69">
        <f>I37*(1-Annahmen!$B$7)</f>
        <v>4.5521395751314389</v>
      </c>
      <c r="N37" s="69">
        <f>Annahmen!$B$8</f>
        <v>78</v>
      </c>
      <c r="O37" s="72">
        <f>INDEX(Quelle_SMARD_Preise_2025!$C$11:$C$375, MATCH($A37,Quelle_SMARD_Preise_2025!$A$11:$A$375, 0))</f>
        <v>141.77000000000001</v>
      </c>
      <c r="P37" s="69">
        <f t="shared" si="5"/>
        <v>828.48940267392163</v>
      </c>
      <c r="Q37" s="69">
        <f t="shared" si="9"/>
        <v>645.35682756638414</v>
      </c>
      <c r="R37" s="73">
        <f>Annahmen!$B$9</f>
        <v>0.05</v>
      </c>
      <c r="S37" s="69">
        <f t="shared" si="6"/>
        <v>0.75868992918857314</v>
      </c>
      <c r="T37" s="69">
        <f t="shared" si="7"/>
        <v>0</v>
      </c>
      <c r="U37" s="74">
        <f>$O37+Annahmen!$B$10+(T37*Annahmen!$B$11)</f>
        <v>149.77000000000001</v>
      </c>
      <c r="V37" s="74">
        <f t="shared" si="1"/>
        <v>113.62899069457261</v>
      </c>
      <c r="W37" s="74">
        <f t="shared" si="8"/>
        <v>385.1185949554116</v>
      </c>
    </row>
    <row r="38" spans="1:23" x14ac:dyDescent="0.35">
      <c r="A38" s="70">
        <v>45694</v>
      </c>
      <c r="B38" s="71" t="str">
        <f t="shared" si="2"/>
        <v>Do</v>
      </c>
      <c r="C38" s="69">
        <f t="shared" si="3"/>
        <v>2</v>
      </c>
      <c r="D38" s="69">
        <v>37</v>
      </c>
      <c r="E38" s="69" t="str">
        <f>IF(OR(COUNTIF(Feiertage_Hessen_2025!$C$4:$C$13,A38)&gt;0,WEEKDAY(A38,2)=7),"FT",IF(WEEKDAY(A38,2)=6,"SA","WT"))</f>
        <v>WT</v>
      </c>
      <c r="F38" s="69">
        <f>INDEX('BDEW-H25 Tagessummen'!$C$4:$C$39, MATCH(C38&amp;"_"&amp;E38, 'BDEW-H25 Tagessummen'!$D$4:$D$39, 0))</f>
        <v>2448.5159999999996</v>
      </c>
      <c r="G38" s="69">
        <f t="shared" si="0"/>
        <v>1.237070488888</v>
      </c>
      <c r="H38" s="69">
        <f>Tabelle1[[#This Row],[Profilwert (kWh)]]*Tabelle1[[#This Row],[Dynamisierungsfaktor]]</f>
        <v>3028.9868851700899</v>
      </c>
      <c r="I38" s="69">
        <f>Annahmen!$B$5*(H38/SUM($H$2:$H$366))</f>
        <v>15.151485139426057</v>
      </c>
      <c r="J38" s="69">
        <f>Annahmen!$B$6</f>
        <v>130</v>
      </c>
      <c r="K38" s="69">
        <f t="shared" si="4"/>
        <v>1969.6930681253875</v>
      </c>
      <c r="L38" s="69">
        <f>I38*Annahmen!$B$7</f>
        <v>10.60603959759824</v>
      </c>
      <c r="M38" s="69">
        <f>I38*(1-Annahmen!$B$7)</f>
        <v>4.5454455418278181</v>
      </c>
      <c r="N38" s="69">
        <f>Annahmen!$B$8</f>
        <v>78</v>
      </c>
      <c r="O38" s="72">
        <f>INDEX(Quelle_SMARD_Preise_2025!$C$11:$C$375, MATCH($A38,Quelle_SMARD_Preise_2025!$A$11:$A$375, 0))</f>
        <v>150.09</v>
      </c>
      <c r="P38" s="69">
        <f t="shared" si="5"/>
        <v>827.27108861266277</v>
      </c>
      <c r="Q38" s="69">
        <f t="shared" si="9"/>
        <v>682.22592137293725</v>
      </c>
      <c r="R38" s="73">
        <f>Annahmen!$B$9</f>
        <v>0.05</v>
      </c>
      <c r="S38" s="69">
        <f t="shared" si="6"/>
        <v>0.75757425697130287</v>
      </c>
      <c r="T38" s="69">
        <f t="shared" si="7"/>
        <v>0</v>
      </c>
      <c r="U38" s="74">
        <f>$O38+Annahmen!$B$10+(T38*Annahmen!$B$11)</f>
        <v>158.09</v>
      </c>
      <c r="V38" s="74">
        <f t="shared" si="1"/>
        <v>119.76491428459327</v>
      </c>
      <c r="W38" s="74">
        <f t="shared" si="8"/>
        <v>340.43114385519414</v>
      </c>
    </row>
    <row r="39" spans="1:23" x14ac:dyDescent="0.35">
      <c r="A39" s="70">
        <v>45695</v>
      </c>
      <c r="B39" s="71" t="str">
        <f t="shared" si="2"/>
        <v>Fr</v>
      </c>
      <c r="C39" s="69">
        <f t="shared" si="3"/>
        <v>2</v>
      </c>
      <c r="D39" s="69">
        <v>38</v>
      </c>
      <c r="E39" s="69" t="str">
        <f>IF(OR(COUNTIF(Feiertage_Hessen_2025!$C$4:$C$13,A39)&gt;0,WEEKDAY(A39,2)=7),"FT",IF(WEEKDAY(A39,2)=6,"SA","WT"))</f>
        <v>WT</v>
      </c>
      <c r="F39" s="69">
        <f>INDEX('BDEW-H25 Tagessummen'!$C$4:$C$39, MATCH(C39&amp;"_"&amp;E39, 'BDEW-H25 Tagessummen'!$D$4:$D$39, 0))</f>
        <v>2448.5159999999996</v>
      </c>
      <c r="G39" s="69">
        <f t="shared" si="0"/>
        <v>1.235172866688</v>
      </c>
      <c r="H39" s="69">
        <f>Tabelle1[[#This Row],[Profilwert (kWh)]]*Tabelle1[[#This Row],[Dynamisierungsfaktor]]</f>
        <v>3024.3405268514343</v>
      </c>
      <c r="I39" s="69">
        <f>Annahmen!$B$5*(H39/SUM($H$2:$H$366))</f>
        <v>15.128243299270778</v>
      </c>
      <c r="J39" s="69">
        <f>Annahmen!$B$6</f>
        <v>130</v>
      </c>
      <c r="K39" s="69">
        <f t="shared" si="4"/>
        <v>1966.6716289052013</v>
      </c>
      <c r="L39" s="69">
        <f>I39*Annahmen!$B$7</f>
        <v>10.589770309489545</v>
      </c>
      <c r="M39" s="69">
        <f>I39*(1-Annahmen!$B$7)</f>
        <v>4.5384729897812344</v>
      </c>
      <c r="N39" s="69">
        <f>Annahmen!$B$8</f>
        <v>78</v>
      </c>
      <c r="O39" s="72">
        <f>INDEX(Quelle_SMARD_Preise_2025!$C$11:$C$375, MATCH($A39,Quelle_SMARD_Preise_2025!$A$11:$A$375, 0))</f>
        <v>121.18</v>
      </c>
      <c r="P39" s="69">
        <f t="shared" si="5"/>
        <v>826.00208414018448</v>
      </c>
      <c r="Q39" s="69">
        <f t="shared" si="9"/>
        <v>549.97215690169003</v>
      </c>
      <c r="R39" s="73">
        <f>Annahmen!$B$9</f>
        <v>0.05</v>
      </c>
      <c r="S39" s="69">
        <f t="shared" si="6"/>
        <v>0.75641216496353891</v>
      </c>
      <c r="T39" s="69">
        <f t="shared" si="7"/>
        <v>0</v>
      </c>
      <c r="U39" s="74">
        <f>$O39+Annahmen!$B$10+(T39*Annahmen!$B$11)</f>
        <v>129.18</v>
      </c>
      <c r="V39" s="74">
        <f t="shared" si="1"/>
        <v>97.713323469989959</v>
      </c>
      <c r="W39" s="74">
        <f t="shared" si="8"/>
        <v>492.98406439333678</v>
      </c>
    </row>
    <row r="40" spans="1:23" x14ac:dyDescent="0.35">
      <c r="A40" s="70">
        <v>45696</v>
      </c>
      <c r="B40" s="71" t="str">
        <f t="shared" si="2"/>
        <v>Sa</v>
      </c>
      <c r="C40" s="69">
        <f t="shared" si="3"/>
        <v>2</v>
      </c>
      <c r="D40" s="69">
        <v>39</v>
      </c>
      <c r="E40" s="69" t="str">
        <f>IF(OR(COUNTIF(Feiertage_Hessen_2025!$C$4:$C$13,A40)&gt;0,WEEKDAY(A40,2)=7),"FT",IF(WEEKDAY(A40,2)=6,"SA","WT"))</f>
        <v>SA</v>
      </c>
      <c r="F40" s="69">
        <f>INDEX('BDEW-H25 Tagessummen'!$C$4:$C$39, MATCH(C40&amp;"_"&amp;E40, 'BDEW-H25 Tagessummen'!$D$4:$D$39, 0))</f>
        <v>2844.567</v>
      </c>
      <c r="G40" s="69">
        <f t="shared" si="0"/>
        <v>1.2332010111280001</v>
      </c>
      <c r="H40" s="69">
        <f>Tabelle1[[#This Row],[Profilwert (kWh)]]*Tabelle1[[#This Row],[Dynamisierungsfaktor]]</f>
        <v>3507.9229006213418</v>
      </c>
      <c r="I40" s="69">
        <f>Annahmen!$B$5*(H40/SUM($H$2:$H$366))</f>
        <v>17.547200999528926</v>
      </c>
      <c r="J40" s="69">
        <f>Annahmen!$B$6</f>
        <v>130</v>
      </c>
      <c r="K40" s="69">
        <f t="shared" si="4"/>
        <v>2281.1361299387604</v>
      </c>
      <c r="L40" s="69">
        <f>I40*Annahmen!$B$7</f>
        <v>12.283040699670247</v>
      </c>
      <c r="M40" s="69">
        <f>I40*(1-Annahmen!$B$7)</f>
        <v>5.2641602998586787</v>
      </c>
      <c r="N40" s="69">
        <f>Annahmen!$B$8</f>
        <v>78</v>
      </c>
      <c r="O40" s="72">
        <f>INDEX(Quelle_SMARD_Preise_2025!$C$11:$C$375, MATCH($A40,Quelle_SMARD_Preise_2025!$A$11:$A$375, 0))</f>
        <v>108.81</v>
      </c>
      <c r="P40" s="69">
        <f t="shared" si="5"/>
        <v>958.0771745742793</v>
      </c>
      <c r="Q40" s="69">
        <f t="shared" si="9"/>
        <v>572.79328222762285</v>
      </c>
      <c r="R40" s="73">
        <f>Annahmen!$B$9</f>
        <v>0.05</v>
      </c>
      <c r="S40" s="69">
        <f t="shared" si="6"/>
        <v>0.87736004997644634</v>
      </c>
      <c r="T40" s="69">
        <f t="shared" si="7"/>
        <v>0</v>
      </c>
      <c r="U40" s="74">
        <f>$O40+Annahmen!$B$10+(T40*Annahmen!$B$11)</f>
        <v>116.81</v>
      </c>
      <c r="V40" s="74">
        <f t="shared" si="1"/>
        <v>102.48442743774869</v>
      </c>
      <c r="W40" s="74">
        <f t="shared" si="8"/>
        <v>647.7812456991096</v>
      </c>
    </row>
    <row r="41" spans="1:23" x14ac:dyDescent="0.35">
      <c r="A41" s="70">
        <v>45697</v>
      </c>
      <c r="B41" s="71" t="str">
        <f t="shared" si="2"/>
        <v>So</v>
      </c>
      <c r="C41" s="69">
        <f t="shared" si="3"/>
        <v>2</v>
      </c>
      <c r="D41" s="69">
        <v>40</v>
      </c>
      <c r="E41" s="69" t="str">
        <f>IF(OR(COUNTIF(Feiertage_Hessen_2025!$C$4:$C$13,A41)&gt;0,WEEKDAY(A41,2)=7),"FT",IF(WEEKDAY(A41,2)=6,"SA","WT"))</f>
        <v>FT</v>
      </c>
      <c r="F41" s="69">
        <f>INDEX('BDEW-H25 Tagessummen'!$C$4:$C$39, MATCH(C41&amp;"_"&amp;E41, 'BDEW-H25 Tagessummen'!$D$4:$D$39, 0))</f>
        <v>2944.4780000000001</v>
      </c>
      <c r="G41" s="69">
        <f t="shared" si="0"/>
        <v>1.2311564800000001</v>
      </c>
      <c r="H41" s="69">
        <f>Tabelle1[[#This Row],[Profilwert (kWh)]]*Tabelle1[[#This Row],[Dynamisierungsfaktor]]</f>
        <v>3625.1131699174402</v>
      </c>
      <c r="I41" s="69">
        <f>Annahmen!$B$5*(H41/SUM($H$2:$H$366))</f>
        <v>18.13340579045045</v>
      </c>
      <c r="J41" s="69">
        <f>Annahmen!$B$6</f>
        <v>130</v>
      </c>
      <c r="K41" s="69">
        <f t="shared" si="4"/>
        <v>2357.3427527585586</v>
      </c>
      <c r="L41" s="69">
        <f>I41*Annahmen!$B$7</f>
        <v>12.693384053315315</v>
      </c>
      <c r="M41" s="69">
        <f>I41*(1-Annahmen!$B$7)</f>
        <v>5.4400217371351358</v>
      </c>
      <c r="N41" s="69">
        <f>Annahmen!$B$8</f>
        <v>78</v>
      </c>
      <c r="O41" s="72">
        <f>INDEX(Quelle_SMARD_Preise_2025!$C$11:$C$375, MATCH($A41,Quelle_SMARD_Preise_2025!$A$11:$A$375, 0))</f>
        <v>128.41999999999999</v>
      </c>
      <c r="P41" s="69">
        <f t="shared" si="5"/>
        <v>990.08395615859456</v>
      </c>
      <c r="Q41" s="69">
        <f t="shared" si="9"/>
        <v>698.60759148289412</v>
      </c>
      <c r="R41" s="73">
        <f>Annahmen!$B$9</f>
        <v>0.05</v>
      </c>
      <c r="S41" s="69">
        <f t="shared" si="6"/>
        <v>0.90667028952252249</v>
      </c>
      <c r="T41" s="69">
        <f t="shared" si="7"/>
        <v>1</v>
      </c>
      <c r="U41" s="74">
        <f>$O41+Annahmen!$B$10+(T41*Annahmen!$B$11)</f>
        <v>256.41999999999996</v>
      </c>
      <c r="V41" s="74">
        <f t="shared" si="1"/>
        <v>232.48839563936517</v>
      </c>
      <c r="W41" s="74">
        <f t="shared" si="8"/>
        <v>436.16280947770485</v>
      </c>
    </row>
    <row r="42" spans="1:23" x14ac:dyDescent="0.35">
      <c r="A42" s="70">
        <v>45698</v>
      </c>
      <c r="B42" s="71" t="str">
        <f t="shared" si="2"/>
        <v>Mo</v>
      </c>
      <c r="C42" s="69">
        <f t="shared" si="3"/>
        <v>2</v>
      </c>
      <c r="D42" s="69">
        <v>41</v>
      </c>
      <c r="E42" s="69" t="str">
        <f>IF(OR(COUNTIF(Feiertage_Hessen_2025!$C$4:$C$13,A42)&gt;0,WEEKDAY(A42,2)=7),"FT",IF(WEEKDAY(A42,2)=6,"SA","WT"))</f>
        <v>WT</v>
      </c>
      <c r="F42" s="69">
        <f>INDEX('BDEW-H25 Tagessummen'!$C$4:$C$39, MATCH(C42&amp;"_"&amp;E42, 'BDEW-H25 Tagessummen'!$D$4:$D$39, 0))</f>
        <v>2448.5159999999996</v>
      </c>
      <c r="G42" s="69">
        <f t="shared" si="0"/>
        <v>1.229040821688</v>
      </c>
      <c r="H42" s="69">
        <f>Tabelle1[[#This Row],[Profilwert (kWh)]]*Tabelle1[[#This Row],[Dynamisierungsfaktor]]</f>
        <v>3009.3261165562144</v>
      </c>
      <c r="I42" s="69">
        <f>Annahmen!$B$5*(H42/SUM($H$2:$H$366))</f>
        <v>15.053138776508048</v>
      </c>
      <c r="J42" s="69">
        <f>Annahmen!$B$6</f>
        <v>130</v>
      </c>
      <c r="K42" s="69">
        <f t="shared" si="4"/>
        <v>1956.9080409460462</v>
      </c>
      <c r="L42" s="69">
        <f>I42*Annahmen!$B$7</f>
        <v>10.537197143555632</v>
      </c>
      <c r="M42" s="69">
        <f>I42*(1-Annahmen!$B$7)</f>
        <v>4.5159416329524147</v>
      </c>
      <c r="N42" s="69">
        <f>Annahmen!$B$8</f>
        <v>78</v>
      </c>
      <c r="O42" s="72">
        <f>INDEX(Quelle_SMARD_Preise_2025!$C$11:$C$375, MATCH($A42,Quelle_SMARD_Preise_2025!$A$11:$A$375, 0))</f>
        <v>121.84</v>
      </c>
      <c r="P42" s="69">
        <f t="shared" si="5"/>
        <v>821.90137719733934</v>
      </c>
      <c r="Q42" s="69">
        <f t="shared" si="9"/>
        <v>550.22232855892219</v>
      </c>
      <c r="R42" s="73">
        <f>Annahmen!$B$9</f>
        <v>0.05</v>
      </c>
      <c r="S42" s="69">
        <f t="shared" si="6"/>
        <v>0.75265693882540241</v>
      </c>
      <c r="T42" s="69">
        <f t="shared" si="7"/>
        <v>0</v>
      </c>
      <c r="U42" s="74">
        <f>$O42+Annahmen!$B$10+(T42*Annahmen!$B$11)</f>
        <v>129.84</v>
      </c>
      <c r="V42" s="74">
        <f t="shared" si="1"/>
        <v>97.724976937090247</v>
      </c>
      <c r="W42" s="74">
        <f t="shared" si="8"/>
        <v>487.05935825269444</v>
      </c>
    </row>
    <row r="43" spans="1:23" x14ac:dyDescent="0.35">
      <c r="A43" s="70">
        <v>45699</v>
      </c>
      <c r="B43" s="71" t="str">
        <f t="shared" si="2"/>
        <v>Di</v>
      </c>
      <c r="C43" s="69">
        <f t="shared" si="3"/>
        <v>2</v>
      </c>
      <c r="D43" s="69">
        <v>42</v>
      </c>
      <c r="E43" s="69" t="str">
        <f>IF(OR(COUNTIF(Feiertage_Hessen_2025!$C$4:$C$13,A43)&gt;0,WEEKDAY(A43,2)=7),"FT",IF(WEEKDAY(A43,2)=6,"SA","WT"))</f>
        <v>WT</v>
      </c>
      <c r="F43" s="69">
        <f>INDEX('BDEW-H25 Tagessummen'!$C$4:$C$39, MATCH(C43&amp;"_"&amp;E43, 'BDEW-H25 Tagessummen'!$D$4:$D$39, 0))</f>
        <v>2448.5159999999996</v>
      </c>
      <c r="G43" s="69">
        <f t="shared" si="0"/>
        <v>1.2268555751679999</v>
      </c>
      <c r="H43" s="69">
        <f>Tabelle1[[#This Row],[Profilwert (kWh)]]*Tabelle1[[#This Row],[Dynamisierungsfaktor]]</f>
        <v>3003.9755054880502</v>
      </c>
      <c r="I43" s="69">
        <f>Annahmen!$B$5*(H43/SUM($H$2:$H$366))</f>
        <v>15.02637414953556</v>
      </c>
      <c r="J43" s="69">
        <f>Annahmen!$B$6</f>
        <v>130</v>
      </c>
      <c r="K43" s="69">
        <f t="shared" si="4"/>
        <v>1953.4286394396227</v>
      </c>
      <c r="L43" s="69">
        <f>I43*Annahmen!$B$7</f>
        <v>10.518461904674892</v>
      </c>
      <c r="M43" s="69">
        <f>I43*(1-Annahmen!$B$7)</f>
        <v>4.5079122448606688</v>
      </c>
      <c r="N43" s="69">
        <f>Annahmen!$B$8</f>
        <v>78</v>
      </c>
      <c r="O43" s="72">
        <f>INDEX(Quelle_SMARD_Preise_2025!$C$11:$C$375, MATCH($A43,Quelle_SMARD_Preise_2025!$A$11:$A$375, 0))</f>
        <v>120.01</v>
      </c>
      <c r="P43" s="69">
        <f t="shared" si="5"/>
        <v>820.44002856464158</v>
      </c>
      <c r="Q43" s="69">
        <f t="shared" si="9"/>
        <v>540.99454850572886</v>
      </c>
      <c r="R43" s="73">
        <f>Annahmen!$B$9</f>
        <v>0.05</v>
      </c>
      <c r="S43" s="69">
        <f t="shared" si="6"/>
        <v>0.75131870747677798</v>
      </c>
      <c r="T43" s="69">
        <f t="shared" si="7"/>
        <v>0</v>
      </c>
      <c r="U43" s="74">
        <f>$O43+Annahmen!$B$10+(T43*Annahmen!$B$11)</f>
        <v>128.01</v>
      </c>
      <c r="V43" s="74">
        <f t="shared" si="1"/>
        <v>96.176307744102346</v>
      </c>
      <c r="W43" s="74">
        <f t="shared" si="8"/>
        <v>495.81775462514986</v>
      </c>
    </row>
    <row r="44" spans="1:23" x14ac:dyDescent="0.35">
      <c r="A44" s="70">
        <v>45700</v>
      </c>
      <c r="B44" s="71" t="str">
        <f t="shared" si="2"/>
        <v>Mi</v>
      </c>
      <c r="C44" s="69">
        <f t="shared" si="3"/>
        <v>2</v>
      </c>
      <c r="D44" s="69">
        <v>43</v>
      </c>
      <c r="E44" s="69" t="str">
        <f>IF(OR(COUNTIF(Feiertage_Hessen_2025!$C$4:$C$13,A44)&gt;0,WEEKDAY(A44,2)=7),"FT",IF(WEEKDAY(A44,2)=6,"SA","WT"))</f>
        <v>WT</v>
      </c>
      <c r="F44" s="69">
        <f>INDEX('BDEW-H25 Tagessummen'!$C$4:$C$39, MATCH(C44&amp;"_"&amp;E44, 'BDEW-H25 Tagessummen'!$D$4:$D$39, 0))</f>
        <v>2448.5159999999996</v>
      </c>
      <c r="G44" s="69">
        <f t="shared" si="0"/>
        <v>1.2246022700079999</v>
      </c>
      <c r="H44" s="69">
        <f>Tabelle1[[#This Row],[Profilwert (kWh)]]*Tabelle1[[#This Row],[Dynamisierungsfaktor]]</f>
        <v>2998.4582517509075</v>
      </c>
      <c r="I44" s="69">
        <f>Annahmen!$B$5*(H44/SUM($H$2:$H$366))</f>
        <v>14.998775948824278</v>
      </c>
      <c r="J44" s="69">
        <f>Annahmen!$B$6</f>
        <v>130</v>
      </c>
      <c r="K44" s="69">
        <f t="shared" si="4"/>
        <v>1949.840873347156</v>
      </c>
      <c r="L44" s="69">
        <f>I44*Annahmen!$B$7</f>
        <v>10.499143164176994</v>
      </c>
      <c r="M44" s="69">
        <f>I44*(1-Annahmen!$B$7)</f>
        <v>4.4996327846472841</v>
      </c>
      <c r="N44" s="69">
        <f>Annahmen!$B$8</f>
        <v>78</v>
      </c>
      <c r="O44" s="72">
        <f>INDEX(Quelle_SMARD_Preise_2025!$C$11:$C$375, MATCH($A44,Quelle_SMARD_Preise_2025!$A$11:$A$375, 0))</f>
        <v>154.32</v>
      </c>
      <c r="P44" s="69">
        <f t="shared" si="5"/>
        <v>818.93316680580551</v>
      </c>
      <c r="Q44" s="69">
        <f t="shared" si="9"/>
        <v>694.38333132676883</v>
      </c>
      <c r="R44" s="73">
        <f>Annahmen!$B$9</f>
        <v>0.05</v>
      </c>
      <c r="S44" s="69">
        <f t="shared" si="6"/>
        <v>0.74993879744121394</v>
      </c>
      <c r="T44" s="69">
        <f t="shared" si="7"/>
        <v>0</v>
      </c>
      <c r="U44" s="74">
        <f>$O44+Annahmen!$B$10+(T44*Annahmen!$B$11)</f>
        <v>162.32</v>
      </c>
      <c r="V44" s="74">
        <f t="shared" si="1"/>
        <v>121.73006560065784</v>
      </c>
      <c r="W44" s="74">
        <f t="shared" si="8"/>
        <v>314.79430961392387</v>
      </c>
    </row>
    <row r="45" spans="1:23" x14ac:dyDescent="0.35">
      <c r="A45" s="70">
        <v>45701</v>
      </c>
      <c r="B45" s="71" t="str">
        <f t="shared" si="2"/>
        <v>Do</v>
      </c>
      <c r="C45" s="69">
        <f t="shared" si="3"/>
        <v>2</v>
      </c>
      <c r="D45" s="69">
        <v>44</v>
      </c>
      <c r="E45" s="69" t="str">
        <f>IF(OR(COUNTIF(Feiertage_Hessen_2025!$C$4:$C$13,A45)&gt;0,WEEKDAY(A45,2)=7),"FT",IF(WEEKDAY(A45,2)=6,"SA","WT"))</f>
        <v>WT</v>
      </c>
      <c r="F45" s="69">
        <f>INDEX('BDEW-H25 Tagessummen'!$C$4:$C$39, MATCH(C45&amp;"_"&amp;E45, 'BDEW-H25 Tagessummen'!$D$4:$D$39, 0))</f>
        <v>2448.5159999999996</v>
      </c>
      <c r="G45" s="69">
        <f t="shared" si="0"/>
        <v>1.2222824263679999</v>
      </c>
      <c r="H45" s="69">
        <f>Tabelle1[[#This Row],[Profilwert (kWh)]]*Tabelle1[[#This Row],[Dynamisierungsfaktor]]</f>
        <v>2992.7780774808693</v>
      </c>
      <c r="I45" s="69">
        <f>Annahmen!$B$5*(H45/SUM($H$2:$H$366))</f>
        <v>14.970362793104391</v>
      </c>
      <c r="J45" s="69">
        <f>Annahmen!$B$6</f>
        <v>130</v>
      </c>
      <c r="K45" s="69">
        <f t="shared" si="4"/>
        <v>1946.1471631035708</v>
      </c>
      <c r="L45" s="69">
        <f>I45*Annahmen!$B$7</f>
        <v>10.479253955173073</v>
      </c>
      <c r="M45" s="69">
        <f>I45*(1-Annahmen!$B$7)</f>
        <v>4.4911088379313178</v>
      </c>
      <c r="N45" s="69">
        <f>Annahmen!$B$8</f>
        <v>78</v>
      </c>
      <c r="O45" s="72">
        <f>INDEX(Quelle_SMARD_Preise_2025!$C$11:$C$375, MATCH($A45,Quelle_SMARD_Preise_2025!$A$11:$A$375, 0))</f>
        <v>172.12</v>
      </c>
      <c r="P45" s="69">
        <f t="shared" si="5"/>
        <v>817.38180850349966</v>
      </c>
      <c r="Q45" s="69">
        <f t="shared" si="9"/>
        <v>773.00965318473845</v>
      </c>
      <c r="R45" s="73">
        <f>Annahmen!$B$9</f>
        <v>0.05</v>
      </c>
      <c r="S45" s="69">
        <f t="shared" si="6"/>
        <v>0.74851813965521963</v>
      </c>
      <c r="T45" s="69">
        <f t="shared" si="7"/>
        <v>0</v>
      </c>
      <c r="U45" s="74">
        <f>$O45+Annahmen!$B$10+(T45*Annahmen!$B$11)</f>
        <v>180.12</v>
      </c>
      <c r="V45" s="74">
        <f t="shared" si="1"/>
        <v>134.82308731469817</v>
      </c>
      <c r="W45" s="74">
        <f t="shared" si="8"/>
        <v>220.93261410063445</v>
      </c>
    </row>
    <row r="46" spans="1:23" x14ac:dyDescent="0.35">
      <c r="A46" s="70">
        <v>45702</v>
      </c>
      <c r="B46" s="71" t="str">
        <f t="shared" si="2"/>
        <v>Fr</v>
      </c>
      <c r="C46" s="69">
        <f t="shared" si="3"/>
        <v>2</v>
      </c>
      <c r="D46" s="69">
        <v>45</v>
      </c>
      <c r="E46" s="69" t="str">
        <f>IF(OR(COUNTIF(Feiertage_Hessen_2025!$C$4:$C$13,A46)&gt;0,WEEKDAY(A46,2)=7),"FT",IF(WEEKDAY(A46,2)=6,"SA","WT"))</f>
        <v>WT</v>
      </c>
      <c r="F46" s="69">
        <f>INDEX('BDEW-H25 Tagessummen'!$C$4:$C$39, MATCH(C46&amp;"_"&amp;E46, 'BDEW-H25 Tagessummen'!$D$4:$D$39, 0))</f>
        <v>2448.5159999999996</v>
      </c>
      <c r="G46" s="69">
        <f t="shared" si="0"/>
        <v>1.219897555</v>
      </c>
      <c r="H46" s="69">
        <f>Tabelle1[[#This Row],[Profilwert (kWh)]]*Tabelle1[[#This Row],[Dynamisierungsfaktor]]</f>
        <v>2986.9386817783793</v>
      </c>
      <c r="I46" s="69">
        <f>Annahmen!$B$5*(H46/SUM($H$2:$H$366))</f>
        <v>14.941153185878068</v>
      </c>
      <c r="J46" s="69">
        <f>Annahmen!$B$6</f>
        <v>130</v>
      </c>
      <c r="K46" s="69">
        <f t="shared" si="4"/>
        <v>1942.3499141641489</v>
      </c>
      <c r="L46" s="69">
        <f>I46*Annahmen!$B$7</f>
        <v>10.458807230114648</v>
      </c>
      <c r="M46" s="69">
        <f>I46*(1-Annahmen!$B$7)</f>
        <v>4.4823459557634209</v>
      </c>
      <c r="N46" s="69">
        <f>Annahmen!$B$8</f>
        <v>78</v>
      </c>
      <c r="O46" s="72">
        <f>INDEX(Quelle_SMARD_Preise_2025!$C$11:$C$375, MATCH($A46,Quelle_SMARD_Preise_2025!$A$11:$A$375, 0))</f>
        <v>179.14</v>
      </c>
      <c r="P46" s="69">
        <f t="shared" si="5"/>
        <v>815.78696394894246</v>
      </c>
      <c r="Q46" s="69">
        <f t="shared" si="9"/>
        <v>802.96745451545917</v>
      </c>
      <c r="R46" s="73">
        <f>Annahmen!$B$9</f>
        <v>0.05</v>
      </c>
      <c r="S46" s="69">
        <f t="shared" si="6"/>
        <v>0.74705765929390344</v>
      </c>
      <c r="T46" s="69">
        <f t="shared" si="7"/>
        <v>0</v>
      </c>
      <c r="U46" s="74">
        <f>$O46+Annahmen!$B$10+(T46*Annahmen!$B$11)</f>
        <v>187.14</v>
      </c>
      <c r="V46" s="74">
        <f t="shared" si="1"/>
        <v>139.80437036026109</v>
      </c>
      <c r="W46" s="74">
        <f t="shared" si="8"/>
        <v>183.7911253394862</v>
      </c>
    </row>
    <row r="47" spans="1:23" x14ac:dyDescent="0.35">
      <c r="A47" s="70">
        <v>45703</v>
      </c>
      <c r="B47" s="71" t="str">
        <f t="shared" si="2"/>
        <v>Sa</v>
      </c>
      <c r="C47" s="69">
        <f t="shared" si="3"/>
        <v>2</v>
      </c>
      <c r="D47" s="69">
        <v>46</v>
      </c>
      <c r="E47" s="69" t="str">
        <f>IF(OR(COUNTIF(Feiertage_Hessen_2025!$C$4:$C$13,A47)&gt;0,WEEKDAY(A47,2)=7),"FT",IF(WEEKDAY(A47,2)=6,"SA","WT"))</f>
        <v>SA</v>
      </c>
      <c r="F47" s="69">
        <f>INDEX('BDEW-H25 Tagessummen'!$C$4:$C$39, MATCH(C47&amp;"_"&amp;E47, 'BDEW-H25 Tagessummen'!$D$4:$D$39, 0))</f>
        <v>2844.567</v>
      </c>
      <c r="G47" s="69">
        <f t="shared" si="0"/>
        <v>1.217449157248</v>
      </c>
      <c r="H47" s="69">
        <f>Tabelle1[[#This Row],[Profilwert (kWh)]]*Tabelle1[[#This Row],[Dynamisierungsfaktor]]</f>
        <v>3463.1156968854716</v>
      </c>
      <c r="I47" s="69">
        <f>Annahmen!$B$5*(H47/SUM($H$2:$H$366))</f>
        <v>17.32306807743965</v>
      </c>
      <c r="J47" s="69">
        <f>Annahmen!$B$6</f>
        <v>130</v>
      </c>
      <c r="K47" s="69">
        <f t="shared" si="4"/>
        <v>2251.9988500671548</v>
      </c>
      <c r="L47" s="69">
        <f>I47*Annahmen!$B$7</f>
        <v>12.126147654207754</v>
      </c>
      <c r="M47" s="69">
        <f>I47*(1-Annahmen!$B$7)</f>
        <v>5.1969204232318962</v>
      </c>
      <c r="N47" s="69">
        <f>Annahmen!$B$8</f>
        <v>78</v>
      </c>
      <c r="O47" s="72">
        <f>INDEX(Quelle_SMARD_Preise_2025!$C$11:$C$375, MATCH($A47,Quelle_SMARD_Preise_2025!$A$11:$A$375, 0))</f>
        <v>133.66</v>
      </c>
      <c r="P47" s="69">
        <f t="shared" si="5"/>
        <v>945.8395170282048</v>
      </c>
      <c r="Q47" s="69">
        <f t="shared" si="9"/>
        <v>694.62038376917519</v>
      </c>
      <c r="R47" s="73">
        <f>Annahmen!$B$9</f>
        <v>0.05</v>
      </c>
      <c r="S47" s="69">
        <f t="shared" si="6"/>
        <v>0.86615340387198259</v>
      </c>
      <c r="T47" s="69">
        <f t="shared" si="7"/>
        <v>0</v>
      </c>
      <c r="U47" s="74">
        <f>$O47+Annahmen!$B$10+(T47*Annahmen!$B$11)</f>
        <v>141.66</v>
      </c>
      <c r="V47" s="74">
        <f t="shared" si="1"/>
        <v>122.69929119250504</v>
      </c>
      <c r="W47" s="74">
        <f t="shared" si="8"/>
        <v>488.83965807726986</v>
      </c>
    </row>
    <row r="48" spans="1:23" x14ac:dyDescent="0.35">
      <c r="A48" s="70">
        <v>45704</v>
      </c>
      <c r="B48" s="71" t="str">
        <f t="shared" si="2"/>
        <v>So</v>
      </c>
      <c r="C48" s="69">
        <f t="shared" si="3"/>
        <v>2</v>
      </c>
      <c r="D48" s="69">
        <v>47</v>
      </c>
      <c r="E48" s="69" t="str">
        <f>IF(OR(COUNTIF(Feiertage_Hessen_2025!$C$4:$C$13,A48)&gt;0,WEEKDAY(A48,2)=7),"FT",IF(WEEKDAY(A48,2)=6,"SA","WT"))</f>
        <v>FT</v>
      </c>
      <c r="F48" s="69">
        <f>INDEX('BDEW-H25 Tagessummen'!$C$4:$C$39, MATCH(C48&amp;"_"&amp;E48, 'BDEW-H25 Tagessummen'!$D$4:$D$39, 0))</f>
        <v>2944.4780000000001</v>
      </c>
      <c r="G48" s="69">
        <f t="shared" si="0"/>
        <v>1.2149387250479999</v>
      </c>
      <c r="H48" s="69">
        <f>Tabelle1[[#This Row],[Profilwert (kWh)]]*Tabelle1[[#This Row],[Dynamisierungsfaktor]]</f>
        <v>3577.3603472518848</v>
      </c>
      <c r="I48" s="69">
        <f>Annahmen!$B$5*(H48/SUM($H$2:$H$366))</f>
        <v>17.894538403296949</v>
      </c>
      <c r="J48" s="69">
        <f>Annahmen!$B$6</f>
        <v>130</v>
      </c>
      <c r="K48" s="69">
        <f t="shared" si="4"/>
        <v>2326.2899924286035</v>
      </c>
      <c r="L48" s="69">
        <f>I48*Annahmen!$B$7</f>
        <v>12.526176882307864</v>
      </c>
      <c r="M48" s="69">
        <f>I48*(1-Annahmen!$B$7)</f>
        <v>5.3683615209890849</v>
      </c>
      <c r="N48" s="69">
        <f>Annahmen!$B$8</f>
        <v>78</v>
      </c>
      <c r="O48" s="72">
        <f>INDEX(Quelle_SMARD_Preise_2025!$C$11:$C$375, MATCH($A48,Quelle_SMARD_Preise_2025!$A$11:$A$375, 0))</f>
        <v>132.65</v>
      </c>
      <c r="P48" s="69">
        <f t="shared" si="5"/>
        <v>977.04179682001336</v>
      </c>
      <c r="Q48" s="69">
        <f t="shared" si="9"/>
        <v>712.11315575920219</v>
      </c>
      <c r="R48" s="73">
        <f>Annahmen!$B$9</f>
        <v>0.05</v>
      </c>
      <c r="S48" s="69">
        <f t="shared" si="6"/>
        <v>0.89472692016484745</v>
      </c>
      <c r="T48" s="69">
        <f t="shared" si="7"/>
        <v>1</v>
      </c>
      <c r="U48" s="74">
        <f>$O48+Annahmen!$B$10+(T48*Annahmen!$B$11)</f>
        <v>260.64999999999998</v>
      </c>
      <c r="V48" s="74">
        <f t="shared" si="1"/>
        <v>233.21057174096748</v>
      </c>
      <c r="W48" s="74">
        <f t="shared" si="8"/>
        <v>403.92446810842046</v>
      </c>
    </row>
    <row r="49" spans="1:23" x14ac:dyDescent="0.35">
      <c r="A49" s="70">
        <v>45705</v>
      </c>
      <c r="B49" s="71" t="str">
        <f t="shared" si="2"/>
        <v>Mo</v>
      </c>
      <c r="C49" s="69">
        <f t="shared" si="3"/>
        <v>2</v>
      </c>
      <c r="D49" s="69">
        <v>48</v>
      </c>
      <c r="E49" s="69" t="str">
        <f>IF(OR(COUNTIF(Feiertage_Hessen_2025!$C$4:$C$13,A49)&gt;0,WEEKDAY(A49,2)=7),"FT",IF(WEEKDAY(A49,2)=6,"SA","WT"))</f>
        <v>WT</v>
      </c>
      <c r="F49" s="69">
        <f>INDEX('BDEW-H25 Tagessummen'!$C$4:$C$39, MATCH(C49&amp;"_"&amp;E49, 'BDEW-H25 Tagessummen'!$D$4:$D$39, 0))</f>
        <v>2448.5159999999996</v>
      </c>
      <c r="G49" s="69">
        <f t="shared" si="0"/>
        <v>1.212367740928</v>
      </c>
      <c r="H49" s="69">
        <f>Tabelle1[[#This Row],[Profilwert (kWh)]]*Tabelle1[[#This Row],[Dynamisierungsfaktor]]</f>
        <v>2968.5018115460625</v>
      </c>
      <c r="I49" s="69">
        <f>Annahmen!$B$5*(H49/SUM($H$2:$H$366))</f>
        <v>14.848928961762027</v>
      </c>
      <c r="J49" s="69">
        <f>Annahmen!$B$6</f>
        <v>130</v>
      </c>
      <c r="K49" s="69">
        <f t="shared" si="4"/>
        <v>1930.3607650290635</v>
      </c>
      <c r="L49" s="69">
        <f>I49*Annahmen!$B$7</f>
        <v>10.394250273233418</v>
      </c>
      <c r="M49" s="69">
        <f>I49*(1-Annahmen!$B$7)</f>
        <v>4.4546786885286087</v>
      </c>
      <c r="N49" s="69">
        <f>Annahmen!$B$8</f>
        <v>78</v>
      </c>
      <c r="O49" s="72">
        <f>INDEX(Quelle_SMARD_Preise_2025!$C$11:$C$375, MATCH($A49,Quelle_SMARD_Preise_2025!$A$11:$A$375, 0))</f>
        <v>153.41999999999999</v>
      </c>
      <c r="P49" s="69">
        <f t="shared" si="5"/>
        <v>810.75152131220659</v>
      </c>
      <c r="Q49" s="69">
        <f t="shared" si="9"/>
        <v>683.4368043940591</v>
      </c>
      <c r="R49" s="73">
        <f>Annahmen!$B$9</f>
        <v>0.05</v>
      </c>
      <c r="S49" s="69">
        <f t="shared" si="6"/>
        <v>0.74244644808810145</v>
      </c>
      <c r="T49" s="69">
        <f t="shared" si="7"/>
        <v>0</v>
      </c>
      <c r="U49" s="74">
        <f>$O49+Annahmen!$B$10+(T49*Annahmen!$B$11)</f>
        <v>161.41999999999999</v>
      </c>
      <c r="V49" s="74">
        <f t="shared" si="1"/>
        <v>119.84570565038133</v>
      </c>
      <c r="W49" s="74">
        <f t="shared" si="8"/>
        <v>316.32673367241637</v>
      </c>
    </row>
    <row r="50" spans="1:23" x14ac:dyDescent="0.35">
      <c r="A50" s="70">
        <v>45706</v>
      </c>
      <c r="B50" s="71" t="str">
        <f t="shared" si="2"/>
        <v>Di</v>
      </c>
      <c r="C50" s="69">
        <f t="shared" si="3"/>
        <v>2</v>
      </c>
      <c r="D50" s="69">
        <v>49</v>
      </c>
      <c r="E50" s="69" t="str">
        <f>IF(OR(COUNTIF(Feiertage_Hessen_2025!$C$4:$C$13,A50)&gt;0,WEEKDAY(A50,2)=7),"FT",IF(WEEKDAY(A50,2)=6,"SA","WT"))</f>
        <v>WT</v>
      </c>
      <c r="F50" s="69">
        <f>INDEX('BDEW-H25 Tagessummen'!$C$4:$C$39, MATCH(C50&amp;"_"&amp;E50, 'BDEW-H25 Tagessummen'!$D$4:$D$39, 0))</f>
        <v>2448.5159999999996</v>
      </c>
      <c r="G50" s="69">
        <f t="shared" si="0"/>
        <v>1.209737678008</v>
      </c>
      <c r="H50" s="69">
        <f>Tabelle1[[#This Row],[Profilwert (kWh)]]*Tabelle1[[#This Row],[Dynamisierungsfaktor]]</f>
        <v>2962.0620604054357</v>
      </c>
      <c r="I50" s="69">
        <f>Annahmen!$B$5*(H50/SUM($H$2:$H$366))</f>
        <v>14.816716278971446</v>
      </c>
      <c r="J50" s="69">
        <f>Annahmen!$B$6</f>
        <v>130</v>
      </c>
      <c r="K50" s="69">
        <f t="shared" si="4"/>
        <v>1926.1731162662879</v>
      </c>
      <c r="L50" s="69">
        <f>I50*Annahmen!$B$7</f>
        <v>10.371701395280011</v>
      </c>
      <c r="M50" s="69">
        <f>I50*(1-Annahmen!$B$7)</f>
        <v>4.4450148836914343</v>
      </c>
      <c r="N50" s="69">
        <f>Annahmen!$B$8</f>
        <v>78</v>
      </c>
      <c r="O50" s="72">
        <f>INDEX(Quelle_SMARD_Preise_2025!$C$11:$C$375, MATCH($A50,Quelle_SMARD_Preise_2025!$A$11:$A$375, 0))</f>
        <v>132.44999999999999</v>
      </c>
      <c r="P50" s="69">
        <f t="shared" si="5"/>
        <v>808.9927088318409</v>
      </c>
      <c r="Q50" s="69">
        <f t="shared" si="9"/>
        <v>588.74222134493039</v>
      </c>
      <c r="R50" s="73">
        <f>Annahmen!$B$9</f>
        <v>0.05</v>
      </c>
      <c r="S50" s="69">
        <f t="shared" si="6"/>
        <v>0.74083581394857234</v>
      </c>
      <c r="T50" s="69">
        <f t="shared" si="7"/>
        <v>0</v>
      </c>
      <c r="U50" s="74">
        <f>$O50+Annahmen!$B$10+(T50*Annahmen!$B$11)</f>
        <v>140.44999999999999</v>
      </c>
      <c r="V50" s="74">
        <f t="shared" si="1"/>
        <v>104.05039006907698</v>
      </c>
      <c r="W50" s="74">
        <f t="shared" si="8"/>
        <v>424.38779602043968</v>
      </c>
    </row>
    <row r="51" spans="1:23" x14ac:dyDescent="0.35">
      <c r="A51" s="70">
        <v>45707</v>
      </c>
      <c r="B51" s="71" t="str">
        <f t="shared" si="2"/>
        <v>Mi</v>
      </c>
      <c r="C51" s="69">
        <f t="shared" si="3"/>
        <v>2</v>
      </c>
      <c r="D51" s="69">
        <v>50</v>
      </c>
      <c r="E51" s="69" t="str">
        <f>IF(OR(COUNTIF(Feiertage_Hessen_2025!$C$4:$C$13,A51)&gt;0,WEEKDAY(A51,2)=7),"FT",IF(WEEKDAY(A51,2)=6,"SA","WT"))</f>
        <v>WT</v>
      </c>
      <c r="F51" s="69">
        <f>INDEX('BDEW-H25 Tagessummen'!$C$4:$C$39, MATCH(C51&amp;"_"&amp;E51, 'BDEW-H25 Tagessummen'!$D$4:$D$39, 0))</f>
        <v>2448.5159999999996</v>
      </c>
      <c r="G51" s="69">
        <f t="shared" si="0"/>
        <v>1.20705</v>
      </c>
      <c r="H51" s="69">
        <f>Tabelle1[[#This Row],[Profilwert (kWh)]]*Tabelle1[[#This Row],[Dynamisierungsfaktor]]</f>
        <v>2955.4812377999992</v>
      </c>
      <c r="I51" s="69">
        <f>Annahmen!$B$5*(H51/SUM($H$2:$H$366))</f>
        <v>14.78379793376512</v>
      </c>
      <c r="J51" s="69">
        <f>Annahmen!$B$6</f>
        <v>130</v>
      </c>
      <c r="K51" s="69">
        <f t="shared" si="4"/>
        <v>1921.8937313894655</v>
      </c>
      <c r="L51" s="69">
        <f>I51*Annahmen!$B$7</f>
        <v>10.348658553635584</v>
      </c>
      <c r="M51" s="69">
        <f>I51*(1-Annahmen!$B$7)</f>
        <v>4.4351393801295371</v>
      </c>
      <c r="N51" s="69">
        <f>Annahmen!$B$8</f>
        <v>78</v>
      </c>
      <c r="O51" s="72">
        <f>INDEX(Quelle_SMARD_Preise_2025!$C$11:$C$375, MATCH($A51,Quelle_SMARD_Preise_2025!$A$11:$A$375, 0))</f>
        <v>110.83</v>
      </c>
      <c r="P51" s="69">
        <f t="shared" si="5"/>
        <v>807.19536718357551</v>
      </c>
      <c r="Q51" s="69">
        <f t="shared" si="9"/>
        <v>491.54649749975658</v>
      </c>
      <c r="R51" s="73">
        <f>Annahmen!$B$9</f>
        <v>0.05</v>
      </c>
      <c r="S51" s="69">
        <f t="shared" si="6"/>
        <v>0.73918989668825608</v>
      </c>
      <c r="T51" s="69">
        <f t="shared" si="7"/>
        <v>0</v>
      </c>
      <c r="U51" s="74">
        <f>$O51+Annahmen!$B$10+(T51*Annahmen!$B$11)</f>
        <v>118.83</v>
      </c>
      <c r="V51" s="74">
        <f t="shared" si="1"/>
        <v>87.837935423465467</v>
      </c>
      <c r="W51" s="74">
        <f t="shared" si="8"/>
        <v>535.31393128266791</v>
      </c>
    </row>
    <row r="52" spans="1:23" x14ac:dyDescent="0.35">
      <c r="A52" s="70">
        <v>45708</v>
      </c>
      <c r="B52" s="71" t="str">
        <f t="shared" si="2"/>
        <v>Do</v>
      </c>
      <c r="C52" s="69">
        <f t="shared" si="3"/>
        <v>2</v>
      </c>
      <c r="D52" s="69">
        <v>51</v>
      </c>
      <c r="E52" s="69" t="str">
        <f>IF(OR(COUNTIF(Feiertage_Hessen_2025!$C$4:$C$13,A52)&gt;0,WEEKDAY(A52,2)=7),"FT",IF(WEEKDAY(A52,2)=6,"SA","WT"))</f>
        <v>WT</v>
      </c>
      <c r="F52" s="69">
        <f>INDEX('BDEW-H25 Tagessummen'!$C$4:$C$39, MATCH(C52&amp;"_"&amp;E52, 'BDEW-H25 Tagessummen'!$D$4:$D$39, 0))</f>
        <v>2448.5159999999996</v>
      </c>
      <c r="G52" s="69">
        <f t="shared" si="0"/>
        <v>1.2043061612079999</v>
      </c>
      <c r="H52" s="69">
        <f>Tabelle1[[#This Row],[Profilwert (kWh)]]*Tabelle1[[#This Row],[Dynamisierungsfaktor]]</f>
        <v>2948.7629046163665</v>
      </c>
      <c r="I52" s="69">
        <f>Annahmen!$B$5*(H52/SUM($H$2:$H$366))</f>
        <v>14.750191738277149</v>
      </c>
      <c r="J52" s="69">
        <f>Annahmen!$B$6</f>
        <v>130</v>
      </c>
      <c r="K52" s="69">
        <f t="shared" si="4"/>
        <v>1917.5249259760294</v>
      </c>
      <c r="L52" s="69">
        <f>I52*Annahmen!$B$7</f>
        <v>10.325134216794003</v>
      </c>
      <c r="M52" s="69">
        <f>I52*(1-Annahmen!$B$7)</f>
        <v>4.4250575214831454</v>
      </c>
      <c r="N52" s="69">
        <f>Annahmen!$B$8</f>
        <v>78</v>
      </c>
      <c r="O52" s="72">
        <f>INDEX(Quelle_SMARD_Preise_2025!$C$11:$C$375, MATCH($A52,Quelle_SMARD_Preise_2025!$A$11:$A$375, 0))</f>
        <v>94.95</v>
      </c>
      <c r="P52" s="69">
        <f t="shared" si="5"/>
        <v>805.36046890993225</v>
      </c>
      <c r="Q52" s="69">
        <f t="shared" si="9"/>
        <v>420.15921166482468</v>
      </c>
      <c r="R52" s="73">
        <f>Annahmen!$B$9</f>
        <v>0.05</v>
      </c>
      <c r="S52" s="69">
        <f t="shared" si="6"/>
        <v>0.73750958691385748</v>
      </c>
      <c r="T52" s="69">
        <f t="shared" si="7"/>
        <v>0</v>
      </c>
      <c r="U52" s="74">
        <f>$O52+Annahmen!$B$10+(T52*Annahmen!$B$11)</f>
        <v>102.95</v>
      </c>
      <c r="V52" s="74">
        <f t="shared" si="1"/>
        <v>75.926611972781629</v>
      </c>
      <c r="W52" s="74">
        <f t="shared" si="8"/>
        <v>616.07863342849089</v>
      </c>
    </row>
    <row r="53" spans="1:23" x14ac:dyDescent="0.35">
      <c r="A53" s="70">
        <v>45709</v>
      </c>
      <c r="B53" s="71" t="str">
        <f t="shared" si="2"/>
        <v>Fr</v>
      </c>
      <c r="C53" s="69">
        <f t="shared" si="3"/>
        <v>2</v>
      </c>
      <c r="D53" s="69">
        <v>52</v>
      </c>
      <c r="E53" s="69" t="str">
        <f>IF(OR(COUNTIF(Feiertage_Hessen_2025!$C$4:$C$13,A53)&gt;0,WEEKDAY(A53,2)=7),"FT",IF(WEEKDAY(A53,2)=6,"SA","WT"))</f>
        <v>WT</v>
      </c>
      <c r="F53" s="69">
        <f>INDEX('BDEW-H25 Tagessummen'!$C$4:$C$39, MATCH(C53&amp;"_"&amp;E53, 'BDEW-H25 Tagessummen'!$D$4:$D$39, 0))</f>
        <v>2448.5159999999996</v>
      </c>
      <c r="G53" s="69">
        <f t="shared" si="0"/>
        <v>1.2015076065280001</v>
      </c>
      <c r="H53" s="69">
        <f>Tabelle1[[#This Row],[Profilwert (kWh)]]*Tabelle1[[#This Row],[Dynamisierungsfaktor]]</f>
        <v>2941.9105987055123</v>
      </c>
      <c r="I53" s="69">
        <f>Annahmen!$B$5*(H53/SUM($H$2:$H$366))</f>
        <v>14.715915389413631</v>
      </c>
      <c r="J53" s="69">
        <f>Annahmen!$B$6</f>
        <v>130</v>
      </c>
      <c r="K53" s="69">
        <f t="shared" si="4"/>
        <v>1913.0690006237721</v>
      </c>
      <c r="L53" s="69">
        <f>I53*Annahmen!$B$7</f>
        <v>10.301140772589541</v>
      </c>
      <c r="M53" s="69">
        <f>I53*(1-Annahmen!$B$7)</f>
        <v>4.41477461682409</v>
      </c>
      <c r="N53" s="69">
        <f>Annahmen!$B$8</f>
        <v>78</v>
      </c>
      <c r="O53" s="72">
        <f>INDEX(Quelle_SMARD_Preise_2025!$C$11:$C$375, MATCH($A53,Quelle_SMARD_Preise_2025!$A$11:$A$375, 0))</f>
        <v>90.8</v>
      </c>
      <c r="P53" s="69">
        <f t="shared" si="5"/>
        <v>803.48898026198424</v>
      </c>
      <c r="Q53" s="69">
        <f t="shared" si="9"/>
        <v>400.86153520762736</v>
      </c>
      <c r="R53" s="73">
        <f>Annahmen!$B$9</f>
        <v>0.05</v>
      </c>
      <c r="S53" s="69">
        <f t="shared" si="6"/>
        <v>0.73579576947068159</v>
      </c>
      <c r="T53" s="69">
        <f t="shared" si="7"/>
        <v>0</v>
      </c>
      <c r="U53" s="74">
        <f>$O53+Annahmen!$B$10+(T53*Annahmen!$B$11)</f>
        <v>98.8</v>
      </c>
      <c r="V53" s="74">
        <f t="shared" si="1"/>
        <v>72.696622023703341</v>
      </c>
      <c r="W53" s="74">
        <f t="shared" si="8"/>
        <v>636.02186313045706</v>
      </c>
    </row>
    <row r="54" spans="1:23" x14ac:dyDescent="0.35">
      <c r="A54" s="70">
        <v>45710</v>
      </c>
      <c r="B54" s="71" t="str">
        <f t="shared" si="2"/>
        <v>Sa</v>
      </c>
      <c r="C54" s="69">
        <f t="shared" si="3"/>
        <v>2</v>
      </c>
      <c r="D54" s="69">
        <v>53</v>
      </c>
      <c r="E54" s="69" t="str">
        <f>IF(OR(COUNTIF(Feiertage_Hessen_2025!$C$4:$C$13,A54)&gt;0,WEEKDAY(A54,2)=7),"FT",IF(WEEKDAY(A54,2)=6,"SA","WT"))</f>
        <v>SA</v>
      </c>
      <c r="F54" s="69">
        <f>INDEX('BDEW-H25 Tagessummen'!$C$4:$C$39, MATCH(C54&amp;"_"&amp;E54, 'BDEW-H25 Tagessummen'!$D$4:$D$39, 0))</f>
        <v>2844.567</v>
      </c>
      <c r="G54" s="69">
        <f t="shared" si="0"/>
        <v>1.198655771448</v>
      </c>
      <c r="H54" s="69">
        <f>Tabelle1[[#This Row],[Profilwert (kWh)]]*Tabelle1[[#This Row],[Dynamisierungsfaktor]]</f>
        <v>3409.6566518205227</v>
      </c>
      <c r="I54" s="69">
        <f>Annahmen!$B$5*(H54/SUM($H$2:$H$366))</f>
        <v>17.055657237585848</v>
      </c>
      <c r="J54" s="69">
        <f>Annahmen!$B$6</f>
        <v>130</v>
      </c>
      <c r="K54" s="69">
        <f t="shared" si="4"/>
        <v>2217.2354408861602</v>
      </c>
      <c r="L54" s="69">
        <f>I54*Annahmen!$B$7</f>
        <v>11.938960066310093</v>
      </c>
      <c r="M54" s="69">
        <f>I54*(1-Annahmen!$B$7)</f>
        <v>5.1166971712757547</v>
      </c>
      <c r="N54" s="69">
        <f>Annahmen!$B$8</f>
        <v>78</v>
      </c>
      <c r="O54" s="72">
        <f>INDEX(Quelle_SMARD_Preise_2025!$C$11:$C$375, MATCH($A54,Quelle_SMARD_Preise_2025!$A$11:$A$375, 0))</f>
        <v>70.319999999999993</v>
      </c>
      <c r="P54" s="69">
        <f t="shared" si="5"/>
        <v>931.23888517218722</v>
      </c>
      <c r="Q54" s="69">
        <f t="shared" si="9"/>
        <v>359.80614508411105</v>
      </c>
      <c r="R54" s="73">
        <f>Annahmen!$B$9</f>
        <v>0.05</v>
      </c>
      <c r="S54" s="69">
        <f t="shared" si="6"/>
        <v>0.85278286187929242</v>
      </c>
      <c r="T54" s="69">
        <f t="shared" si="7"/>
        <v>0</v>
      </c>
      <c r="U54" s="74">
        <f>$O54+Annahmen!$B$10+(T54*Annahmen!$B$11)</f>
        <v>78.319999999999993</v>
      </c>
      <c r="V54" s="74">
        <f t="shared" si="1"/>
        <v>66.789953742386174</v>
      </c>
      <c r="W54" s="74">
        <f t="shared" si="8"/>
        <v>859.40045688747591</v>
      </c>
    </row>
    <row r="55" spans="1:23" x14ac:dyDescent="0.35">
      <c r="A55" s="70">
        <v>45711</v>
      </c>
      <c r="B55" s="71" t="str">
        <f t="shared" si="2"/>
        <v>So</v>
      </c>
      <c r="C55" s="69">
        <f t="shared" si="3"/>
        <v>2</v>
      </c>
      <c r="D55" s="69">
        <v>54</v>
      </c>
      <c r="E55" s="69" t="str">
        <f>IF(OR(COUNTIF(Feiertage_Hessen_2025!$C$4:$C$13,A55)&gt;0,WEEKDAY(A55,2)=7),"FT",IF(WEEKDAY(A55,2)=6,"SA","WT"))</f>
        <v>FT</v>
      </c>
      <c r="F55" s="69">
        <f>INDEX('BDEW-H25 Tagessummen'!$C$4:$C$39, MATCH(C55&amp;"_"&amp;E55, 'BDEW-H25 Tagessummen'!$D$4:$D$39, 0))</f>
        <v>2944.4780000000001</v>
      </c>
      <c r="G55" s="69">
        <f t="shared" si="0"/>
        <v>1.1957520820480001</v>
      </c>
      <c r="H55" s="69">
        <f>Tabelle1[[#This Row],[Profilwert (kWh)]]*Tabelle1[[#This Row],[Dynamisierungsfaktor]]</f>
        <v>3520.8656990445311</v>
      </c>
      <c r="I55" s="69">
        <f>Annahmen!$B$5*(H55/SUM($H$2:$H$366))</f>
        <v>17.611942982708737</v>
      </c>
      <c r="J55" s="69">
        <f>Annahmen!$B$6</f>
        <v>130</v>
      </c>
      <c r="K55" s="69">
        <f t="shared" si="4"/>
        <v>2289.5525877521359</v>
      </c>
      <c r="L55" s="69">
        <f>I55*Annahmen!$B$7</f>
        <v>12.328360087896115</v>
      </c>
      <c r="M55" s="69">
        <f>I55*(1-Annahmen!$B$7)</f>
        <v>5.2835828948126213</v>
      </c>
      <c r="N55" s="69">
        <f>Annahmen!$B$8</f>
        <v>78</v>
      </c>
      <c r="O55" s="72">
        <f>INDEX(Quelle_SMARD_Preise_2025!$C$11:$C$375, MATCH($A55,Quelle_SMARD_Preise_2025!$A$11:$A$375, 0))</f>
        <v>91.04</v>
      </c>
      <c r="P55" s="69">
        <f t="shared" si="5"/>
        <v>961.61208685589702</v>
      </c>
      <c r="Q55" s="69">
        <f t="shared" si="9"/>
        <v>481.0173867437411</v>
      </c>
      <c r="R55" s="73">
        <f>Annahmen!$B$9</f>
        <v>0.05</v>
      </c>
      <c r="S55" s="69">
        <f t="shared" si="6"/>
        <v>0.88059714913543685</v>
      </c>
      <c r="T55" s="69">
        <f t="shared" si="7"/>
        <v>1</v>
      </c>
      <c r="U55" s="74">
        <f>$O55+Annahmen!$B$10+(T55*Annahmen!$B$11)</f>
        <v>219.04000000000002</v>
      </c>
      <c r="V55" s="74">
        <f t="shared" si="1"/>
        <v>192.8859995466261</v>
      </c>
      <c r="W55" s="74">
        <f t="shared" si="8"/>
        <v>654.03711460587181</v>
      </c>
    </row>
    <row r="56" spans="1:23" x14ac:dyDescent="0.35">
      <c r="A56" s="70">
        <v>45712</v>
      </c>
      <c r="B56" s="71" t="str">
        <f t="shared" si="2"/>
        <v>Mo</v>
      </c>
      <c r="C56" s="69">
        <f t="shared" si="3"/>
        <v>2</v>
      </c>
      <c r="D56" s="69">
        <v>55</v>
      </c>
      <c r="E56" s="69" t="str">
        <f>IF(OR(COUNTIF(Feiertage_Hessen_2025!$C$4:$C$13,A56)&gt;0,WEEKDAY(A56,2)=7),"FT",IF(WEEKDAY(A56,2)=6,"SA","WT"))</f>
        <v>WT</v>
      </c>
      <c r="F56" s="69">
        <f>INDEX('BDEW-H25 Tagessummen'!$C$4:$C$39, MATCH(C56&amp;"_"&amp;E56, 'BDEW-H25 Tagessummen'!$D$4:$D$39, 0))</f>
        <v>2448.5159999999996</v>
      </c>
      <c r="G56" s="69">
        <f t="shared" si="0"/>
        <v>1.1927979550000001</v>
      </c>
      <c r="H56" s="69">
        <f>Tabelle1[[#This Row],[Profilwert (kWh)]]*Tabelle1[[#This Row],[Dynamisierungsfaktor]]</f>
        <v>2920.5848775847799</v>
      </c>
      <c r="I56" s="69">
        <f>Annahmen!$B$5*(H56/SUM($H$2:$H$366))</f>
        <v>14.609240663210523</v>
      </c>
      <c r="J56" s="69">
        <f>Annahmen!$B$6</f>
        <v>130</v>
      </c>
      <c r="K56" s="69">
        <f t="shared" si="4"/>
        <v>1899.2012862173679</v>
      </c>
      <c r="L56" s="69">
        <f>I56*Annahmen!$B$7</f>
        <v>10.226468464247365</v>
      </c>
      <c r="M56" s="69">
        <f>I56*(1-Annahmen!$B$7)</f>
        <v>4.3827721989631572</v>
      </c>
      <c r="N56" s="69">
        <f>Annahmen!$B$8</f>
        <v>78</v>
      </c>
      <c r="O56" s="72">
        <f>INDEX(Quelle_SMARD_Preise_2025!$C$11:$C$375, MATCH($A56,Quelle_SMARD_Preise_2025!$A$11:$A$375, 0))</f>
        <v>91.05</v>
      </c>
      <c r="P56" s="69">
        <f t="shared" si="5"/>
        <v>797.66454021129448</v>
      </c>
      <c r="Q56" s="69">
        <f t="shared" si="9"/>
        <v>399.05140871559547</v>
      </c>
      <c r="R56" s="73">
        <f>Annahmen!$B$9</f>
        <v>0.05</v>
      </c>
      <c r="S56" s="69">
        <f t="shared" si="6"/>
        <v>0.73046203316052616</v>
      </c>
      <c r="T56" s="69">
        <f t="shared" si="7"/>
        <v>0</v>
      </c>
      <c r="U56" s="74">
        <f>$O56+Annahmen!$B$10+(T56*Annahmen!$B$11)</f>
        <v>99.05</v>
      </c>
      <c r="V56" s="74">
        <f t="shared" si="1"/>
        <v>72.352264384550111</v>
      </c>
      <c r="W56" s="74">
        <f t="shared" si="8"/>
        <v>630.13307290592775</v>
      </c>
    </row>
    <row r="57" spans="1:23" x14ac:dyDescent="0.35">
      <c r="A57" s="70">
        <v>45713</v>
      </c>
      <c r="B57" s="71" t="str">
        <f t="shared" si="2"/>
        <v>Di</v>
      </c>
      <c r="C57" s="69">
        <f t="shared" si="3"/>
        <v>2</v>
      </c>
      <c r="D57" s="69">
        <v>56</v>
      </c>
      <c r="E57" s="69" t="str">
        <f>IF(OR(COUNTIF(Feiertage_Hessen_2025!$C$4:$C$13,A57)&gt;0,WEEKDAY(A57,2)=7),"FT",IF(WEEKDAY(A57,2)=6,"SA","WT"))</f>
        <v>WT</v>
      </c>
      <c r="F57" s="69">
        <f>INDEX('BDEW-H25 Tagessummen'!$C$4:$C$39, MATCH(C57&amp;"_"&amp;E57, 'BDEW-H25 Tagessummen'!$D$4:$D$39, 0))</f>
        <v>2448.5159999999996</v>
      </c>
      <c r="G57" s="69">
        <f t="shared" si="0"/>
        <v>1.1897947975680001</v>
      </c>
      <c r="H57" s="69">
        <f>Tabelle1[[#This Row],[Profilwert (kWh)]]*Tabelle1[[#This Row],[Dynamisierungsfaktor]]</f>
        <v>2913.2315985620089</v>
      </c>
      <c r="I57" s="69">
        <f>Annahmen!$B$5*(H57/SUM($H$2:$H$366))</f>
        <v>14.572458365345504</v>
      </c>
      <c r="J57" s="69">
        <f>Annahmen!$B$6</f>
        <v>130</v>
      </c>
      <c r="K57" s="69">
        <f t="shared" si="4"/>
        <v>1894.4195874949155</v>
      </c>
      <c r="L57" s="69">
        <f>I57*Annahmen!$B$7</f>
        <v>10.200720855741853</v>
      </c>
      <c r="M57" s="69">
        <f>I57*(1-Annahmen!$B$7)</f>
        <v>4.3717375096036521</v>
      </c>
      <c r="N57" s="69">
        <f>Annahmen!$B$8</f>
        <v>78</v>
      </c>
      <c r="O57" s="72">
        <f>INDEX(Quelle_SMARD_Preise_2025!$C$11:$C$375, MATCH($A57,Quelle_SMARD_Preise_2025!$A$11:$A$375, 0))</f>
        <v>139.76</v>
      </c>
      <c r="P57" s="69">
        <f t="shared" si="5"/>
        <v>795.65622674786448</v>
      </c>
      <c r="Q57" s="69">
        <f t="shared" si="9"/>
        <v>610.99403434220642</v>
      </c>
      <c r="R57" s="73">
        <f>Annahmen!$B$9</f>
        <v>0.05</v>
      </c>
      <c r="S57" s="69">
        <f t="shared" si="6"/>
        <v>0.72862291826727521</v>
      </c>
      <c r="T57" s="69">
        <f t="shared" si="7"/>
        <v>0</v>
      </c>
      <c r="U57" s="74">
        <f>$O57+Annahmen!$B$10+(T57*Annahmen!$B$11)</f>
        <v>147.76</v>
      </c>
      <c r="V57" s="74">
        <f t="shared" si="1"/>
        <v>107.66132240317258</v>
      </c>
      <c r="W57" s="74">
        <f t="shared" si="8"/>
        <v>380.10800400167216</v>
      </c>
    </row>
    <row r="58" spans="1:23" x14ac:dyDescent="0.35">
      <c r="A58" s="70">
        <v>45714</v>
      </c>
      <c r="B58" s="71" t="str">
        <f t="shared" si="2"/>
        <v>Mi</v>
      </c>
      <c r="C58" s="69">
        <f t="shared" si="3"/>
        <v>2</v>
      </c>
      <c r="D58" s="69">
        <v>57</v>
      </c>
      <c r="E58" s="69" t="str">
        <f>IF(OR(COUNTIF(Feiertage_Hessen_2025!$C$4:$C$13,A58)&gt;0,WEEKDAY(A58,2)=7),"FT",IF(WEEKDAY(A58,2)=6,"SA","WT"))</f>
        <v>WT</v>
      </c>
      <c r="F58" s="69">
        <f>INDEX('BDEW-H25 Tagessummen'!$C$4:$C$39, MATCH(C58&amp;"_"&amp;E58, 'BDEW-H25 Tagessummen'!$D$4:$D$39, 0))</f>
        <v>2448.5159999999996</v>
      </c>
      <c r="G58" s="69">
        <f t="shared" si="0"/>
        <v>1.186744007608</v>
      </c>
      <c r="H58" s="69">
        <f>Tabelle1[[#This Row],[Profilwert (kWh)]]*Tabelle1[[#This Row],[Dynamisierungsfaktor]]</f>
        <v>2905.7616905323093</v>
      </c>
      <c r="I58" s="69">
        <f>Annahmen!$B$5*(H58/SUM($H$2:$H$366))</f>
        <v>14.535092670215226</v>
      </c>
      <c r="J58" s="69">
        <f>Annahmen!$B$6</f>
        <v>130</v>
      </c>
      <c r="K58" s="69">
        <f t="shared" si="4"/>
        <v>1889.5620471279794</v>
      </c>
      <c r="L58" s="69">
        <f>I58*Annahmen!$B$7</f>
        <v>10.174564869150657</v>
      </c>
      <c r="M58" s="69">
        <f>I58*(1-Annahmen!$B$7)</f>
        <v>4.3605278010645687</v>
      </c>
      <c r="N58" s="69">
        <f>Annahmen!$B$8</f>
        <v>78</v>
      </c>
      <c r="O58" s="72">
        <f>INDEX(Quelle_SMARD_Preise_2025!$C$11:$C$375, MATCH($A58,Quelle_SMARD_Preise_2025!$A$11:$A$375, 0))</f>
        <v>135.69</v>
      </c>
      <c r="P58" s="69">
        <f t="shared" si="5"/>
        <v>793.61605979375122</v>
      </c>
      <c r="Q58" s="69">
        <f t="shared" si="9"/>
        <v>591.68001732645132</v>
      </c>
      <c r="R58" s="73">
        <f>Annahmen!$B$9</f>
        <v>0.05</v>
      </c>
      <c r="S58" s="69">
        <f t="shared" si="6"/>
        <v>0.72675463351076131</v>
      </c>
      <c r="T58" s="69">
        <f t="shared" si="7"/>
        <v>0</v>
      </c>
      <c r="U58" s="74">
        <f>$O58+Annahmen!$B$10+(T58*Annahmen!$B$11)</f>
        <v>143.69</v>
      </c>
      <c r="V58" s="74">
        <f t="shared" si="1"/>
        <v>104.4273732891613</v>
      </c>
      <c r="W58" s="74">
        <f t="shared" si="8"/>
        <v>399.83859671861558</v>
      </c>
    </row>
    <row r="59" spans="1:23" x14ac:dyDescent="0.35">
      <c r="A59" s="70">
        <v>45715</v>
      </c>
      <c r="B59" s="71" t="str">
        <f t="shared" si="2"/>
        <v>Do</v>
      </c>
      <c r="C59" s="69">
        <f t="shared" si="3"/>
        <v>2</v>
      </c>
      <c r="D59" s="69">
        <v>58</v>
      </c>
      <c r="E59" s="69" t="str">
        <f>IF(OR(COUNTIF(Feiertage_Hessen_2025!$C$4:$C$13,A59)&gt;0,WEEKDAY(A59,2)=7),"FT",IF(WEEKDAY(A59,2)=6,"SA","WT"))</f>
        <v>WT</v>
      </c>
      <c r="F59" s="69">
        <f>INDEX('BDEW-H25 Tagessummen'!$C$4:$C$39, MATCH(C59&amp;"_"&amp;E59, 'BDEW-H25 Tagessummen'!$D$4:$D$39, 0))</f>
        <v>2448.5159999999996</v>
      </c>
      <c r="G59" s="69">
        <f t="shared" si="0"/>
        <v>1.183646973568</v>
      </c>
      <c r="H59" s="69">
        <f>Tabelle1[[#This Row],[Profilwert (kWh)]]*Tabelle1[[#This Row],[Dynamisierungsfaktor]]</f>
        <v>2898.1785531328246</v>
      </c>
      <c r="I59" s="69">
        <f>Annahmen!$B$5*(H59/SUM($H$2:$H$366))</f>
        <v>14.49716058335772</v>
      </c>
      <c r="J59" s="69">
        <f>Annahmen!$B$6</f>
        <v>130</v>
      </c>
      <c r="K59" s="69">
        <f t="shared" si="4"/>
        <v>1884.6308758365037</v>
      </c>
      <c r="L59" s="69">
        <f>I59*Annahmen!$B$7</f>
        <v>10.148012408350404</v>
      </c>
      <c r="M59" s="69">
        <f>I59*(1-Annahmen!$B$7)</f>
        <v>4.3491481750073167</v>
      </c>
      <c r="N59" s="69">
        <f>Annahmen!$B$8</f>
        <v>78</v>
      </c>
      <c r="O59" s="72">
        <f>INDEX(Quelle_SMARD_Preise_2025!$C$11:$C$375, MATCH($A59,Quelle_SMARD_Preise_2025!$A$11:$A$375, 0))</f>
        <v>126.03</v>
      </c>
      <c r="P59" s="69">
        <f t="shared" si="5"/>
        <v>791.54496785133153</v>
      </c>
      <c r="Q59" s="69">
        <f t="shared" si="9"/>
        <v>548.12314449617213</v>
      </c>
      <c r="R59" s="73">
        <f>Annahmen!$B$9</f>
        <v>0.05</v>
      </c>
      <c r="S59" s="69">
        <f t="shared" si="6"/>
        <v>0.72485802916788611</v>
      </c>
      <c r="T59" s="69">
        <f t="shared" si="7"/>
        <v>0</v>
      </c>
      <c r="U59" s="74">
        <f>$O59+Annahmen!$B$10+(T59*Annahmen!$B$11)</f>
        <v>134.03</v>
      </c>
      <c r="V59" s="74">
        <f t="shared" si="1"/>
        <v>97.15272164937177</v>
      </c>
      <c r="W59" s="74">
        <f t="shared" si="8"/>
        <v>447.81004183962818</v>
      </c>
    </row>
    <row r="60" spans="1:23" x14ac:dyDescent="0.35">
      <c r="A60" s="70">
        <v>45716</v>
      </c>
      <c r="B60" s="71" t="str">
        <f t="shared" si="2"/>
        <v>Fr</v>
      </c>
      <c r="C60" s="69">
        <f t="shared" si="3"/>
        <v>2</v>
      </c>
      <c r="D60" s="69">
        <v>59</v>
      </c>
      <c r="E60" s="69" t="str">
        <f>IF(OR(COUNTIF(Feiertage_Hessen_2025!$C$4:$C$13,A60)&gt;0,WEEKDAY(A60,2)=7),"FT",IF(WEEKDAY(A60,2)=6,"SA","WT"))</f>
        <v>WT</v>
      </c>
      <c r="F60" s="69">
        <f>INDEX('BDEW-H25 Tagessummen'!$C$4:$C$39, MATCH(C60&amp;"_"&amp;E60, 'BDEW-H25 Tagessummen'!$D$4:$D$39, 0))</f>
        <v>2448.5159999999996</v>
      </c>
      <c r="G60" s="69">
        <f t="shared" si="0"/>
        <v>1.1805050744880001</v>
      </c>
      <c r="H60" s="69">
        <f>Tabelle1[[#This Row],[Profilwert (kWh)]]*Tabelle1[[#This Row],[Dynamisierungsfaktor]]</f>
        <v>2890.4855629650597</v>
      </c>
      <c r="I60" s="69">
        <f>Annahmen!$B$5*(H60/SUM($H$2:$H$366))</f>
        <v>14.458678995083</v>
      </c>
      <c r="J60" s="69">
        <f>Annahmen!$B$6</f>
        <v>130</v>
      </c>
      <c r="K60" s="69">
        <f t="shared" si="4"/>
        <v>1879.62826936079</v>
      </c>
      <c r="L60" s="69">
        <f>I60*Annahmen!$B$7</f>
        <v>10.1210752965581</v>
      </c>
      <c r="M60" s="69">
        <f>I60*(1-Annahmen!$B$7)</f>
        <v>4.3376036985249007</v>
      </c>
      <c r="N60" s="69">
        <f>Annahmen!$B$8</f>
        <v>78</v>
      </c>
      <c r="O60" s="72">
        <f>INDEX(Quelle_SMARD_Preise_2025!$C$11:$C$375, MATCH($A60,Quelle_SMARD_Preise_2025!$A$11:$A$375, 0))</f>
        <v>128.77000000000001</v>
      </c>
      <c r="P60" s="69">
        <f t="shared" si="5"/>
        <v>789.44387313153186</v>
      </c>
      <c r="Q60" s="69">
        <f t="shared" si="9"/>
        <v>558.55322825905148</v>
      </c>
      <c r="R60" s="73">
        <f>Annahmen!$B$9</f>
        <v>0.05</v>
      </c>
      <c r="S60" s="69">
        <f t="shared" si="6"/>
        <v>0.72293394975415004</v>
      </c>
      <c r="T60" s="69">
        <f t="shared" si="7"/>
        <v>0</v>
      </c>
      <c r="U60" s="74">
        <f>$O60+Annahmen!$B$10+(T60*Annahmen!$B$11)</f>
        <v>136.77000000000001</v>
      </c>
      <c r="V60" s="74">
        <f t="shared" si="1"/>
        <v>98.875676307875111</v>
      </c>
      <c r="W60" s="74">
        <f t="shared" si="8"/>
        <v>432.75549166233168</v>
      </c>
    </row>
    <row r="61" spans="1:23" x14ac:dyDescent="0.35">
      <c r="A61" s="70">
        <v>45717</v>
      </c>
      <c r="B61" s="71" t="str">
        <f t="shared" si="2"/>
        <v>Sa</v>
      </c>
      <c r="C61" s="69">
        <f t="shared" si="3"/>
        <v>3</v>
      </c>
      <c r="D61" s="69">
        <v>60</v>
      </c>
      <c r="E61" s="69" t="str">
        <f>IF(OR(COUNTIF(Feiertage_Hessen_2025!$C$4:$C$13,A61)&gt;0,WEEKDAY(A61,2)=7),"FT",IF(WEEKDAY(A61,2)=6,"SA","WT"))</f>
        <v>SA</v>
      </c>
      <c r="F61" s="69">
        <f>INDEX('BDEW-H25 Tagessummen'!$C$4:$C$39, MATCH(C61&amp;"_"&amp;E61, 'BDEW-H25 Tagessummen'!$D$4:$D$39, 0))</f>
        <v>2784.876999999999</v>
      </c>
      <c r="G61" s="69">
        <f t="shared" si="0"/>
        <v>1.1773196800000001</v>
      </c>
      <c r="H61" s="69">
        <f>Tabelle1[[#This Row],[Profilwert (kWh)]]*Tabelle1[[#This Row],[Dynamisierungsfaktor]]</f>
        <v>3278.6904984793591</v>
      </c>
      <c r="I61" s="69">
        <f>Annahmen!$B$5*(H61/SUM($H$2:$H$366))</f>
        <v>16.400543233681862</v>
      </c>
      <c r="J61" s="69">
        <f>Annahmen!$B$6</f>
        <v>130</v>
      </c>
      <c r="K61" s="69">
        <f t="shared" si="4"/>
        <v>2132.0706203786422</v>
      </c>
      <c r="L61" s="69">
        <f>I61*Annahmen!$B$7</f>
        <v>11.480380263577302</v>
      </c>
      <c r="M61" s="69">
        <f>I61*(1-Annahmen!$B$7)</f>
        <v>4.9201629701045597</v>
      </c>
      <c r="N61" s="69">
        <f>Annahmen!$B$8</f>
        <v>78</v>
      </c>
      <c r="O61" s="72">
        <f>INDEX(Quelle_SMARD_Preise_2025!$C$11:$C$375, MATCH($A61,Quelle_SMARD_Preise_2025!$A$11:$A$375, 0))</f>
        <v>123.65</v>
      </c>
      <c r="P61" s="69">
        <f t="shared" si="5"/>
        <v>895.46966055902953</v>
      </c>
      <c r="Q61" s="69">
        <f t="shared" si="9"/>
        <v>608.37815125342888</v>
      </c>
      <c r="R61" s="73">
        <f>Annahmen!$B$9</f>
        <v>0.05</v>
      </c>
      <c r="S61" s="69">
        <f t="shared" si="6"/>
        <v>0.82002716168409318</v>
      </c>
      <c r="T61" s="69">
        <f t="shared" si="7"/>
        <v>0</v>
      </c>
      <c r="U61" s="74">
        <f>$O61+Annahmen!$B$10+(T61*Annahmen!$B$11)</f>
        <v>131.65</v>
      </c>
      <c r="V61" s="74">
        <f t="shared" si="1"/>
        <v>107.95657583571086</v>
      </c>
      <c r="W61" s="74">
        <f t="shared" si="8"/>
        <v>520.26623273047289</v>
      </c>
    </row>
    <row r="62" spans="1:23" x14ac:dyDescent="0.35">
      <c r="A62" s="70">
        <v>45718</v>
      </c>
      <c r="B62" s="71" t="str">
        <f t="shared" si="2"/>
        <v>So</v>
      </c>
      <c r="C62" s="69">
        <f t="shared" si="3"/>
        <v>3</v>
      </c>
      <c r="D62" s="69">
        <v>61</v>
      </c>
      <c r="E62" s="69" t="str">
        <f>IF(OR(COUNTIF(Feiertage_Hessen_2025!$C$4:$C$13,A62)&gt;0,WEEKDAY(A62,2)=7),"FT",IF(WEEKDAY(A62,2)=6,"SA","WT"))</f>
        <v>FT</v>
      </c>
      <c r="F62" s="69">
        <f>INDEX('BDEW-H25 Tagessummen'!$C$4:$C$39, MATCH(C62&amp;"_"&amp;E62, 'BDEW-H25 Tagessummen'!$D$4:$D$39, 0))</f>
        <v>2866.433</v>
      </c>
      <c r="G62" s="69">
        <f t="shared" si="0"/>
        <v>1.174092150328</v>
      </c>
      <c r="H62" s="69">
        <f>Tabelle1[[#This Row],[Profilwert (kWh)]]*Tabelle1[[#This Row],[Dynamisierungsfaktor]]</f>
        <v>3365.4564847411398</v>
      </c>
      <c r="I62" s="69">
        <f>Annahmen!$B$5*(H62/SUM($H$2:$H$366))</f>
        <v>16.834560811601879</v>
      </c>
      <c r="J62" s="69">
        <f>Annahmen!$B$6</f>
        <v>130</v>
      </c>
      <c r="K62" s="69">
        <f t="shared" si="4"/>
        <v>2188.4929055082443</v>
      </c>
      <c r="L62" s="69">
        <f>I62*Annahmen!$B$7</f>
        <v>11.784192568121314</v>
      </c>
      <c r="M62" s="69">
        <f>I62*(1-Annahmen!$B$7)</f>
        <v>5.0503682434805643</v>
      </c>
      <c r="N62" s="69">
        <f>Annahmen!$B$8</f>
        <v>78</v>
      </c>
      <c r="O62" s="72">
        <f>INDEX(Quelle_SMARD_Preise_2025!$C$11:$C$375, MATCH($A62,Quelle_SMARD_Preise_2025!$A$11:$A$375, 0))</f>
        <v>91.12</v>
      </c>
      <c r="P62" s="69">
        <f t="shared" si="5"/>
        <v>919.16702031346256</v>
      </c>
      <c r="Q62" s="69">
        <f t="shared" si="9"/>
        <v>460.18955434594903</v>
      </c>
      <c r="R62" s="73">
        <f>Annahmen!$B$9</f>
        <v>0.05</v>
      </c>
      <c r="S62" s="69">
        <f t="shared" si="6"/>
        <v>0.84172804058009398</v>
      </c>
      <c r="T62" s="69">
        <f t="shared" si="7"/>
        <v>0</v>
      </c>
      <c r="U62" s="74">
        <f>$O62+Annahmen!$B$10+(T62*Annahmen!$B$11)</f>
        <v>99.12</v>
      </c>
      <c r="V62" s="74">
        <f t="shared" si="1"/>
        <v>83.432083382298913</v>
      </c>
      <c r="W62" s="74">
        <f t="shared" si="8"/>
        <v>725.70424746653362</v>
      </c>
    </row>
    <row r="63" spans="1:23" x14ac:dyDescent="0.35">
      <c r="A63" s="70">
        <v>45719</v>
      </c>
      <c r="B63" s="71" t="str">
        <f t="shared" si="2"/>
        <v>Mo</v>
      </c>
      <c r="C63" s="69">
        <f t="shared" si="3"/>
        <v>3</v>
      </c>
      <c r="D63" s="69">
        <v>62</v>
      </c>
      <c r="E63" s="69" t="str">
        <f>IF(OR(COUNTIF(Feiertage_Hessen_2025!$C$4:$C$13,A63)&gt;0,WEEKDAY(A63,2)=7),"FT",IF(WEEKDAY(A63,2)=6,"SA","WT"))</f>
        <v>WT</v>
      </c>
      <c r="F63" s="69">
        <f>INDEX('BDEW-H25 Tagessummen'!$C$4:$C$39, MATCH(C63&amp;"_"&amp;E63, 'BDEW-H25 Tagessummen'!$D$4:$D$39, 0))</f>
        <v>2398.8849999999993</v>
      </c>
      <c r="G63" s="69">
        <f t="shared" si="0"/>
        <v>1.1708238362879999</v>
      </c>
      <c r="H63" s="69">
        <f>Tabelle1[[#This Row],[Profilwert (kWh)]]*Tabelle1[[#This Row],[Dynamisierungsfaktor]]</f>
        <v>2808.6717385137376</v>
      </c>
      <c r="I63" s="69">
        <f>Annahmen!$B$5*(H63/SUM($H$2:$H$366))</f>
        <v>14.049432936130781</v>
      </c>
      <c r="J63" s="69">
        <f>Annahmen!$B$6</f>
        <v>130</v>
      </c>
      <c r="K63" s="69">
        <f t="shared" si="4"/>
        <v>1826.4262816970015</v>
      </c>
      <c r="L63" s="69">
        <f>I63*Annahmen!$B$7</f>
        <v>9.8346030552915469</v>
      </c>
      <c r="M63" s="69">
        <f>I63*(1-Annahmen!$B$7)</f>
        <v>4.2148298808392353</v>
      </c>
      <c r="N63" s="69">
        <f>Annahmen!$B$8</f>
        <v>78</v>
      </c>
      <c r="O63" s="72">
        <f>INDEX(Quelle_SMARD_Preise_2025!$C$11:$C$375, MATCH($A63,Quelle_SMARD_Preise_2025!$A$11:$A$375, 0))</f>
        <v>106.45</v>
      </c>
      <c r="P63" s="69">
        <f t="shared" si="5"/>
        <v>767.09903831274062</v>
      </c>
      <c r="Q63" s="69">
        <f t="shared" si="9"/>
        <v>448.66864081533663</v>
      </c>
      <c r="R63" s="73">
        <f>Annahmen!$B$9</f>
        <v>0.05</v>
      </c>
      <c r="S63" s="69">
        <f t="shared" si="6"/>
        <v>0.70247164680653906</v>
      </c>
      <c r="T63" s="69">
        <f t="shared" si="7"/>
        <v>0</v>
      </c>
      <c r="U63" s="74">
        <f>$O63+Annahmen!$B$10+(T63*Annahmen!$B$11)</f>
        <v>114.45</v>
      </c>
      <c r="V63" s="74">
        <f t="shared" si="1"/>
        <v>80.397879977008401</v>
      </c>
      <c r="W63" s="74">
        <f t="shared" si="8"/>
        <v>530.26072259191574</v>
      </c>
    </row>
    <row r="64" spans="1:23" x14ac:dyDescent="0.35">
      <c r="A64" s="70">
        <v>45720</v>
      </c>
      <c r="B64" s="71" t="str">
        <f t="shared" si="2"/>
        <v>Di</v>
      </c>
      <c r="C64" s="69">
        <f t="shared" si="3"/>
        <v>3</v>
      </c>
      <c r="D64" s="69">
        <v>63</v>
      </c>
      <c r="E64" s="69" t="str">
        <f>IF(OR(COUNTIF(Feiertage_Hessen_2025!$C$4:$C$13,A64)&gt;0,WEEKDAY(A64,2)=7),"FT",IF(WEEKDAY(A64,2)=6,"SA","WT"))</f>
        <v>WT</v>
      </c>
      <c r="F64" s="69">
        <f>INDEX('BDEW-H25 Tagessummen'!$C$4:$C$39, MATCH(C64&amp;"_"&amp;E64, 'BDEW-H25 Tagessummen'!$D$4:$D$39, 0))</f>
        <v>2398.8849999999993</v>
      </c>
      <c r="G64" s="69">
        <f t="shared" si="0"/>
        <v>1.1675160792880002</v>
      </c>
      <c r="H64" s="69">
        <f>Tabelle1[[#This Row],[Profilwert (kWh)]]*Tabelle1[[#This Row],[Dynamisierungsfaktor]]</f>
        <v>2800.7368098627935</v>
      </c>
      <c r="I64" s="69">
        <f>Annahmen!$B$5*(H64/SUM($H$2:$H$366))</f>
        <v>14.009741132205908</v>
      </c>
      <c r="J64" s="69">
        <f>Annahmen!$B$6</f>
        <v>130</v>
      </c>
      <c r="K64" s="69">
        <f t="shared" si="4"/>
        <v>1821.2663471867681</v>
      </c>
      <c r="L64" s="69">
        <f>I64*Annahmen!$B$7</f>
        <v>9.806818792544135</v>
      </c>
      <c r="M64" s="69">
        <f>I64*(1-Annahmen!$B$7)</f>
        <v>4.2029223396617734</v>
      </c>
      <c r="N64" s="69">
        <f>Annahmen!$B$8</f>
        <v>78</v>
      </c>
      <c r="O64" s="72">
        <f>INDEX(Quelle_SMARD_Preise_2025!$C$11:$C$375, MATCH($A64,Quelle_SMARD_Preise_2025!$A$11:$A$375, 0))</f>
        <v>107.77</v>
      </c>
      <c r="P64" s="69">
        <f t="shared" si="5"/>
        <v>764.93186581844247</v>
      </c>
      <c r="Q64" s="69">
        <f t="shared" si="9"/>
        <v>452.94894054534933</v>
      </c>
      <c r="R64" s="73">
        <f>Annahmen!$B$9</f>
        <v>0.05</v>
      </c>
      <c r="S64" s="69">
        <f t="shared" si="6"/>
        <v>0.70048705661029542</v>
      </c>
      <c r="T64" s="69">
        <f t="shared" si="7"/>
        <v>0</v>
      </c>
      <c r="U64" s="74">
        <f>$O64+Annahmen!$B$10+(T64*Annahmen!$B$11)</f>
        <v>115.77</v>
      </c>
      <c r="V64" s="74">
        <f t="shared" si="1"/>
        <v>81.095386543773898</v>
      </c>
      <c r="W64" s="74">
        <f t="shared" si="8"/>
        <v>522.2901542792024</v>
      </c>
    </row>
    <row r="65" spans="1:23" x14ac:dyDescent="0.35">
      <c r="A65" s="70">
        <v>45721</v>
      </c>
      <c r="B65" s="71" t="str">
        <f t="shared" si="2"/>
        <v>Mi</v>
      </c>
      <c r="C65" s="69">
        <f t="shared" si="3"/>
        <v>3</v>
      </c>
      <c r="D65" s="69">
        <v>64</v>
      </c>
      <c r="E65" s="69" t="str">
        <f>IF(OR(COUNTIF(Feiertage_Hessen_2025!$C$4:$C$13,A65)&gt;0,WEEKDAY(A65,2)=7),"FT",IF(WEEKDAY(A65,2)=6,"SA","WT"))</f>
        <v>WT</v>
      </c>
      <c r="F65" s="69">
        <f>INDEX('BDEW-H25 Tagessummen'!$C$4:$C$39, MATCH(C65&amp;"_"&amp;E65, 'BDEW-H25 Tagessummen'!$D$4:$D$39, 0))</f>
        <v>2398.8849999999993</v>
      </c>
      <c r="G65" s="69">
        <f t="shared" si="0"/>
        <v>1.1641702113279999</v>
      </c>
      <c r="H65" s="69">
        <f>Tabelle1[[#This Row],[Profilwert (kWh)]]*Tabelle1[[#This Row],[Dynamisierungsfaktor]]</f>
        <v>2792.7104574015684</v>
      </c>
      <c r="I65" s="69">
        <f>Annahmen!$B$5*(H65/SUM($H$2:$H$366))</f>
        <v>13.969592011509658</v>
      </c>
      <c r="J65" s="69">
        <f>Annahmen!$B$6</f>
        <v>130</v>
      </c>
      <c r="K65" s="69">
        <f t="shared" si="4"/>
        <v>1816.0469614962556</v>
      </c>
      <c r="L65" s="69">
        <f>I65*Annahmen!$B$7</f>
        <v>9.778714408056759</v>
      </c>
      <c r="M65" s="69">
        <f>I65*(1-Annahmen!$B$7)</f>
        <v>4.1908776034528978</v>
      </c>
      <c r="N65" s="69">
        <f>Annahmen!$B$8</f>
        <v>78</v>
      </c>
      <c r="O65" s="72">
        <f>INDEX(Quelle_SMARD_Preise_2025!$C$11:$C$375, MATCH($A65,Quelle_SMARD_Preise_2025!$A$11:$A$375, 0))</f>
        <v>78.55</v>
      </c>
      <c r="P65" s="69">
        <f t="shared" si="5"/>
        <v>762.73972382842715</v>
      </c>
      <c r="Q65" s="69">
        <f t="shared" si="9"/>
        <v>329.19343575122514</v>
      </c>
      <c r="R65" s="73">
        <f>Annahmen!$B$9</f>
        <v>0.05</v>
      </c>
      <c r="S65" s="69">
        <f t="shared" si="6"/>
        <v>0.69847960057548297</v>
      </c>
      <c r="T65" s="69">
        <f t="shared" si="7"/>
        <v>0</v>
      </c>
      <c r="U65" s="74">
        <f>$O65+Annahmen!$B$10+(T65*Annahmen!$B$11)</f>
        <v>86.55</v>
      </c>
      <c r="V65" s="74">
        <f t="shared" si="1"/>
        <v>60.453409429808048</v>
      </c>
      <c r="W65" s="74">
        <f t="shared" si="8"/>
        <v>663.6603924867951</v>
      </c>
    </row>
    <row r="66" spans="1:23" x14ac:dyDescent="0.35">
      <c r="A66" s="70">
        <v>45722</v>
      </c>
      <c r="B66" s="71" t="str">
        <f t="shared" si="2"/>
        <v>Do</v>
      </c>
      <c r="C66" s="69">
        <f t="shared" si="3"/>
        <v>3</v>
      </c>
      <c r="D66" s="69">
        <v>65</v>
      </c>
      <c r="E66" s="69" t="str">
        <f>IF(OR(COUNTIF(Feiertage_Hessen_2025!$C$4:$C$13,A66)&gt;0,WEEKDAY(A66,2)=7),"FT",IF(WEEKDAY(A66,2)=6,"SA","WT"))</f>
        <v>WT</v>
      </c>
      <c r="F66" s="69">
        <f>INDEX('BDEW-H25 Tagessummen'!$C$4:$C$39, MATCH(C66&amp;"_"&amp;E66, 'BDEW-H25 Tagessummen'!$D$4:$D$39, 0))</f>
        <v>2398.8849999999993</v>
      </c>
      <c r="G66" s="69">
        <f t="shared" ref="G66:G129" si="10">-3.92*10^-10*D66^4+3.2*10^-7*D66^3-7.02*10^-5*D66^2+2.1*10^-3*D66+1.24</f>
        <v>1.160787555</v>
      </c>
      <c r="H66" s="69">
        <f>Tabelle1[[#This Row],[Profilwert (kWh)]]*Tabelle1[[#This Row],[Dynamisierungsfaktor]]</f>
        <v>2784.5958538761743</v>
      </c>
      <c r="I66" s="69">
        <f>Annahmen!$B$5*(H66/SUM($H$2:$H$366))</f>
        <v>13.929001444634213</v>
      </c>
      <c r="J66" s="69">
        <f>Annahmen!$B$6</f>
        <v>130</v>
      </c>
      <c r="K66" s="69">
        <f t="shared" si="4"/>
        <v>1810.7701878024477</v>
      </c>
      <c r="L66" s="69">
        <f>I66*Annahmen!$B$7</f>
        <v>9.7503010112439483</v>
      </c>
      <c r="M66" s="69">
        <f>I66*(1-Annahmen!$B$7)</f>
        <v>4.1787004333902642</v>
      </c>
      <c r="N66" s="69">
        <f>Annahmen!$B$8</f>
        <v>78</v>
      </c>
      <c r="O66" s="72">
        <f>INDEX(Quelle_SMARD_Preise_2025!$C$11:$C$375, MATCH($A66,Quelle_SMARD_Preise_2025!$A$11:$A$375, 0))</f>
        <v>89.82</v>
      </c>
      <c r="P66" s="69">
        <f t="shared" si="5"/>
        <v>760.52347887702797</v>
      </c>
      <c r="Q66" s="69">
        <f t="shared" si="9"/>
        <v>375.33087292711349</v>
      </c>
      <c r="R66" s="73">
        <f>Annahmen!$B$9</f>
        <v>0.05</v>
      </c>
      <c r="S66" s="69">
        <f t="shared" si="6"/>
        <v>0.69645007223171074</v>
      </c>
      <c r="T66" s="69">
        <f t="shared" si="7"/>
        <v>0</v>
      </c>
      <c r="U66" s="74">
        <f>$O66+Annahmen!$B$10+(T66*Annahmen!$B$11)</f>
        <v>97.82</v>
      </c>
      <c r="V66" s="74">
        <f t="shared" ref="V66:V129" si="11">ABS(S66)*U66</f>
        <v>68.126746065705944</v>
      </c>
      <c r="W66" s="74">
        <f t="shared" si="8"/>
        <v>606.78908993260029</v>
      </c>
    </row>
    <row r="67" spans="1:23" x14ac:dyDescent="0.35">
      <c r="A67" s="70">
        <v>45723</v>
      </c>
      <c r="B67" s="71" t="str">
        <f t="shared" ref="B67:B130" si="12">TEXT(A67,"TTT")</f>
        <v>Fr</v>
      </c>
      <c r="C67" s="69">
        <f t="shared" ref="C67:C130" si="13">MONTH(A67)</f>
        <v>3</v>
      </c>
      <c r="D67" s="69">
        <v>66</v>
      </c>
      <c r="E67" s="69" t="str">
        <f>IF(OR(COUNTIF(Feiertage_Hessen_2025!$C$4:$C$13,A67)&gt;0,WEEKDAY(A67,2)=7),"FT",IF(WEEKDAY(A67,2)=6,"SA","WT"))</f>
        <v>WT</v>
      </c>
      <c r="F67" s="69">
        <f>INDEX('BDEW-H25 Tagessummen'!$C$4:$C$39, MATCH(C67&amp;"_"&amp;E67, 'BDEW-H25 Tagessummen'!$D$4:$D$39, 0))</f>
        <v>2398.8849999999993</v>
      </c>
      <c r="G67" s="69">
        <f t="shared" si="10"/>
        <v>1.1573694234880001</v>
      </c>
      <c r="H67" s="69">
        <f>Tabelle1[[#This Row],[Profilwert (kWh)]]*Tabelle1[[#This Row],[Dynamisierungsfaktor]]</f>
        <v>2776.3961494640103</v>
      </c>
      <c r="I67" s="69">
        <f>Annahmen!$B$5*(H67/SUM($H$2:$H$366))</f>
        <v>13.887985189279377</v>
      </c>
      <c r="J67" s="69">
        <f>Annahmen!$B$6</f>
        <v>130</v>
      </c>
      <c r="K67" s="69">
        <f t="shared" ref="K67:K130" si="14">I67*J67</f>
        <v>1805.4380746063189</v>
      </c>
      <c r="L67" s="69">
        <f>I67*Annahmen!$B$7</f>
        <v>9.7215896324955633</v>
      </c>
      <c r="M67" s="69">
        <f>I67*(1-Annahmen!$B$7)</f>
        <v>4.1663955567838133</v>
      </c>
      <c r="N67" s="69">
        <f>Annahmen!$B$8</f>
        <v>78</v>
      </c>
      <c r="O67" s="72">
        <f>INDEX(Quelle_SMARD_Preise_2025!$C$11:$C$375, MATCH($A67,Quelle_SMARD_Preise_2025!$A$11:$A$375, 0))</f>
        <v>103.99</v>
      </c>
      <c r="P67" s="69">
        <f t="shared" ref="P67:P130" si="15">L67*N67</f>
        <v>758.28399133465393</v>
      </c>
      <c r="Q67" s="69">
        <f t="shared" ref="Q67:Q130" si="16">M67*O67</f>
        <v>433.26347394994872</v>
      </c>
      <c r="R67" s="73">
        <f>Annahmen!$B$9</f>
        <v>0.05</v>
      </c>
      <c r="S67" s="69">
        <f t="shared" ref="S67:S130" si="17">R67*I67</f>
        <v>0.69439925946396885</v>
      </c>
      <c r="T67" s="69">
        <f t="shared" ref="T67:T130" si="18">IF(OR(I67&gt;=PERCENTILE($I$2:$I$366,0.95),I67&lt;=PERCENTILE($I$2:$I$366,0.05)),1,0)</f>
        <v>0</v>
      </c>
      <c r="U67" s="74">
        <f>$O67+Annahmen!$B$10+(T67*Annahmen!$B$11)</f>
        <v>111.99</v>
      </c>
      <c r="V67" s="74">
        <f t="shared" si="11"/>
        <v>77.765773067369864</v>
      </c>
      <c r="W67" s="74">
        <f t="shared" ref="W67:W130" si="19">K67-P67-Q67-V67</f>
        <v>536.12483625434641</v>
      </c>
    </row>
    <row r="68" spans="1:23" x14ac:dyDescent="0.35">
      <c r="A68" s="70">
        <v>45724</v>
      </c>
      <c r="B68" s="71" t="str">
        <f t="shared" si="12"/>
        <v>Sa</v>
      </c>
      <c r="C68" s="69">
        <f t="shared" si="13"/>
        <v>3</v>
      </c>
      <c r="D68" s="69">
        <v>67</v>
      </c>
      <c r="E68" s="69" t="str">
        <f>IF(OR(COUNTIF(Feiertage_Hessen_2025!$C$4:$C$13,A68)&gt;0,WEEKDAY(A68,2)=7),"FT",IF(WEEKDAY(A68,2)=6,"SA","WT"))</f>
        <v>SA</v>
      </c>
      <c r="F68" s="69">
        <f>INDEX('BDEW-H25 Tagessummen'!$C$4:$C$39, MATCH(C68&amp;"_"&amp;E68, 'BDEW-H25 Tagessummen'!$D$4:$D$39, 0))</f>
        <v>2784.876999999999</v>
      </c>
      <c r="G68" s="69">
        <f t="shared" si="10"/>
        <v>1.1539171205679999</v>
      </c>
      <c r="H68" s="69">
        <f>Tabelle1[[#This Row],[Profilwert (kWh)]]*Tabelle1[[#This Row],[Dynamisierungsfaktor]]</f>
        <v>3213.5172489760489</v>
      </c>
      <c r="I68" s="69">
        <f>Annahmen!$B$5*(H68/SUM($H$2:$H$366))</f>
        <v>16.074536037621634</v>
      </c>
      <c r="J68" s="69">
        <f>Annahmen!$B$6</f>
        <v>130</v>
      </c>
      <c r="K68" s="69">
        <f t="shared" si="14"/>
        <v>2089.6896848908123</v>
      </c>
      <c r="L68" s="69">
        <f>I68*Annahmen!$B$7</f>
        <v>11.252175226335144</v>
      </c>
      <c r="M68" s="69">
        <f>I68*(1-Annahmen!$B$7)</f>
        <v>4.8223608112864911</v>
      </c>
      <c r="N68" s="69">
        <f>Annahmen!$B$8</f>
        <v>78</v>
      </c>
      <c r="O68" s="72">
        <f>INDEX(Quelle_SMARD_Preise_2025!$C$11:$C$375, MATCH($A68,Quelle_SMARD_Preise_2025!$A$11:$A$375, 0))</f>
        <v>90.69</v>
      </c>
      <c r="P68" s="69">
        <f t="shared" si="15"/>
        <v>877.66966765414122</v>
      </c>
      <c r="Q68" s="69">
        <f t="shared" si="16"/>
        <v>437.33990197557188</v>
      </c>
      <c r="R68" s="73">
        <f>Annahmen!$B$9</f>
        <v>0.05</v>
      </c>
      <c r="S68" s="69">
        <f t="shared" si="17"/>
        <v>0.8037268018810817</v>
      </c>
      <c r="T68" s="69">
        <f t="shared" si="18"/>
        <v>0</v>
      </c>
      <c r="U68" s="74">
        <f>$O68+Annahmen!$B$10+(T68*Annahmen!$B$11)</f>
        <v>98.69</v>
      </c>
      <c r="V68" s="74">
        <f t="shared" si="11"/>
        <v>79.319798077643952</v>
      </c>
      <c r="W68" s="74">
        <f t="shared" si="19"/>
        <v>695.36031718345521</v>
      </c>
    </row>
    <row r="69" spans="1:23" x14ac:dyDescent="0.35">
      <c r="A69" s="70">
        <v>45725</v>
      </c>
      <c r="B69" s="71" t="str">
        <f t="shared" si="12"/>
        <v>So</v>
      </c>
      <c r="C69" s="69">
        <f t="shared" si="13"/>
        <v>3</v>
      </c>
      <c r="D69" s="69">
        <v>68</v>
      </c>
      <c r="E69" s="69" t="str">
        <f>IF(OR(COUNTIF(Feiertage_Hessen_2025!$C$4:$C$13,A69)&gt;0,WEEKDAY(A69,2)=7),"FT",IF(WEEKDAY(A69,2)=6,"SA","WT"))</f>
        <v>FT</v>
      </c>
      <c r="F69" s="69">
        <f>INDEX('BDEW-H25 Tagessummen'!$C$4:$C$39, MATCH(C69&amp;"_"&amp;E69, 'BDEW-H25 Tagessummen'!$D$4:$D$39, 0))</f>
        <v>2866.433</v>
      </c>
      <c r="G69" s="69">
        <f t="shared" si="10"/>
        <v>1.1504319406080001</v>
      </c>
      <c r="H69" s="69">
        <f>Tabelle1[[#This Row],[Profilwert (kWh)]]*Tabelle1[[#This Row],[Dynamisierungsfaktor]]</f>
        <v>3297.6360788128118</v>
      </c>
      <c r="I69" s="69">
        <f>Annahmen!$B$5*(H69/SUM($H$2:$H$366))</f>
        <v>16.495312108478096</v>
      </c>
      <c r="J69" s="69">
        <f>Annahmen!$B$6</f>
        <v>130</v>
      </c>
      <c r="K69" s="69">
        <f t="shared" si="14"/>
        <v>2144.3905741021526</v>
      </c>
      <c r="L69" s="69">
        <f>I69*Annahmen!$B$7</f>
        <v>11.546718475934666</v>
      </c>
      <c r="M69" s="69">
        <f>I69*(1-Annahmen!$B$7)</f>
        <v>4.9485936325434299</v>
      </c>
      <c r="N69" s="69">
        <f>Annahmen!$B$8</f>
        <v>78</v>
      </c>
      <c r="O69" s="72">
        <f>INDEX(Quelle_SMARD_Preise_2025!$C$11:$C$375, MATCH($A69,Quelle_SMARD_Preise_2025!$A$11:$A$375, 0))</f>
        <v>77.209999999999994</v>
      </c>
      <c r="P69" s="69">
        <f t="shared" si="15"/>
        <v>900.64404112290401</v>
      </c>
      <c r="Q69" s="69">
        <f t="shared" si="16"/>
        <v>382.08091436867818</v>
      </c>
      <c r="R69" s="73">
        <f>Annahmen!$B$9</f>
        <v>0.05</v>
      </c>
      <c r="S69" s="69">
        <f t="shared" si="17"/>
        <v>0.82476560542390487</v>
      </c>
      <c r="T69" s="69">
        <f t="shared" si="18"/>
        <v>0</v>
      </c>
      <c r="U69" s="74">
        <f>$O69+Annahmen!$B$10+(T69*Annahmen!$B$11)</f>
        <v>85.21</v>
      </c>
      <c r="V69" s="74">
        <f t="shared" si="11"/>
        <v>70.278277238170929</v>
      </c>
      <c r="W69" s="74">
        <f t="shared" si="19"/>
        <v>791.38734137239942</v>
      </c>
    </row>
    <row r="70" spans="1:23" x14ac:dyDescent="0.35">
      <c r="A70" s="70">
        <v>45726</v>
      </c>
      <c r="B70" s="71" t="str">
        <f t="shared" si="12"/>
        <v>Mo</v>
      </c>
      <c r="C70" s="69">
        <f t="shared" si="13"/>
        <v>3</v>
      </c>
      <c r="D70" s="69">
        <v>69</v>
      </c>
      <c r="E70" s="69" t="str">
        <f>IF(OR(COUNTIF(Feiertage_Hessen_2025!$C$4:$C$13,A70)&gt;0,WEEKDAY(A70,2)=7),"FT",IF(WEEKDAY(A70,2)=6,"SA","WT"))</f>
        <v>WT</v>
      </c>
      <c r="F70" s="69">
        <f>INDEX('BDEW-H25 Tagessummen'!$C$4:$C$39, MATCH(C70&amp;"_"&amp;E70, 'BDEW-H25 Tagessummen'!$D$4:$D$39, 0))</f>
        <v>2398.8849999999993</v>
      </c>
      <c r="G70" s="69">
        <f t="shared" si="10"/>
        <v>1.1469151685680001</v>
      </c>
      <c r="H70" s="69">
        <f>Tabelle1[[#This Row],[Profilwert (kWh)]]*Tabelle1[[#This Row],[Dynamisierungsfaktor]]</f>
        <v>2751.3175941502464</v>
      </c>
      <c r="I70" s="69">
        <f>Annahmen!$B$5*(H70/SUM($H$2:$H$366))</f>
        <v>13.762538175951212</v>
      </c>
      <c r="J70" s="69">
        <f>Annahmen!$B$6</f>
        <v>130</v>
      </c>
      <c r="K70" s="69">
        <f t="shared" si="14"/>
        <v>1789.1299628736576</v>
      </c>
      <c r="L70" s="69">
        <f>I70*Annahmen!$B$7</f>
        <v>9.6337767231658482</v>
      </c>
      <c r="M70" s="69">
        <f>I70*(1-Annahmen!$B$7)</f>
        <v>4.1287614527853638</v>
      </c>
      <c r="N70" s="69">
        <f>Annahmen!$B$8</f>
        <v>78</v>
      </c>
      <c r="O70" s="72">
        <f>INDEX(Quelle_SMARD_Preise_2025!$C$11:$C$375, MATCH($A70,Quelle_SMARD_Preise_2025!$A$11:$A$375, 0))</f>
        <v>112.86</v>
      </c>
      <c r="P70" s="69">
        <f t="shared" si="15"/>
        <v>751.43458440693621</v>
      </c>
      <c r="Q70" s="69">
        <f t="shared" si="16"/>
        <v>465.97201756135615</v>
      </c>
      <c r="R70" s="73">
        <f>Annahmen!$B$9</f>
        <v>0.05</v>
      </c>
      <c r="S70" s="69">
        <f t="shared" si="17"/>
        <v>0.68812690879756067</v>
      </c>
      <c r="T70" s="69">
        <f t="shared" si="18"/>
        <v>0</v>
      </c>
      <c r="U70" s="74">
        <f>$O70+Annahmen!$B$10+(T70*Annahmen!$B$11)</f>
        <v>120.86</v>
      </c>
      <c r="V70" s="74">
        <f t="shared" si="11"/>
        <v>83.16701819727318</v>
      </c>
      <c r="W70" s="74">
        <f t="shared" si="19"/>
        <v>488.55634270809213</v>
      </c>
    </row>
    <row r="71" spans="1:23" x14ac:dyDescent="0.35">
      <c r="A71" s="70">
        <v>45727</v>
      </c>
      <c r="B71" s="71" t="str">
        <f t="shared" si="12"/>
        <v>Di</v>
      </c>
      <c r="C71" s="69">
        <f t="shared" si="13"/>
        <v>3</v>
      </c>
      <c r="D71" s="69">
        <v>70</v>
      </c>
      <c r="E71" s="69" t="str">
        <f>IF(OR(COUNTIF(Feiertage_Hessen_2025!$C$4:$C$13,A71)&gt;0,WEEKDAY(A71,2)=7),"FT",IF(WEEKDAY(A71,2)=6,"SA","WT"))</f>
        <v>WT</v>
      </c>
      <c r="F71" s="69">
        <f>INDEX('BDEW-H25 Tagessummen'!$C$4:$C$39, MATCH(C71&amp;"_"&amp;E71, 'BDEW-H25 Tagessummen'!$D$4:$D$39, 0))</f>
        <v>2398.8849999999993</v>
      </c>
      <c r="G71" s="69">
        <f t="shared" si="10"/>
        <v>1.1433680800000001</v>
      </c>
      <c r="H71" s="69">
        <f>Tabelle1[[#This Row],[Profilwert (kWh)]]*Tabelle1[[#This Row],[Dynamisierungsfaktor]]</f>
        <v>2742.8085365907996</v>
      </c>
      <c r="I71" s="69">
        <f>Annahmen!$B$5*(H71/SUM($H$2:$H$366))</f>
        <v>13.719974485829708</v>
      </c>
      <c r="J71" s="69">
        <f>Annahmen!$B$6</f>
        <v>130</v>
      </c>
      <c r="K71" s="69">
        <f t="shared" si="14"/>
        <v>1783.5966831578619</v>
      </c>
      <c r="L71" s="69">
        <f>I71*Annahmen!$B$7</f>
        <v>9.6039821400807952</v>
      </c>
      <c r="M71" s="69">
        <f>I71*(1-Annahmen!$B$7)</f>
        <v>4.1159923457489125</v>
      </c>
      <c r="N71" s="69">
        <f>Annahmen!$B$8</f>
        <v>78</v>
      </c>
      <c r="O71" s="72">
        <f>INDEX(Quelle_SMARD_Preise_2025!$C$11:$C$375, MATCH($A71,Quelle_SMARD_Preise_2025!$A$11:$A$375, 0))</f>
        <v>125.3</v>
      </c>
      <c r="P71" s="69">
        <f t="shared" si="15"/>
        <v>749.11060692630201</v>
      </c>
      <c r="Q71" s="69">
        <f t="shared" si="16"/>
        <v>515.73384092233869</v>
      </c>
      <c r="R71" s="73">
        <f>Annahmen!$B$9</f>
        <v>0.05</v>
      </c>
      <c r="S71" s="69">
        <f t="shared" si="17"/>
        <v>0.68599872429148545</v>
      </c>
      <c r="T71" s="69">
        <f t="shared" si="18"/>
        <v>0</v>
      </c>
      <c r="U71" s="74">
        <f>$O71+Annahmen!$B$10+(T71*Annahmen!$B$11)</f>
        <v>133.30000000000001</v>
      </c>
      <c r="V71" s="74">
        <f t="shared" si="11"/>
        <v>91.443629948055019</v>
      </c>
      <c r="W71" s="74">
        <f t="shared" si="19"/>
        <v>427.30860536116609</v>
      </c>
    </row>
    <row r="72" spans="1:23" x14ac:dyDescent="0.35">
      <c r="A72" s="70">
        <v>45728</v>
      </c>
      <c r="B72" s="71" t="str">
        <f t="shared" si="12"/>
        <v>Mi</v>
      </c>
      <c r="C72" s="69">
        <f t="shared" si="13"/>
        <v>3</v>
      </c>
      <c r="D72" s="69">
        <v>71</v>
      </c>
      <c r="E72" s="69" t="str">
        <f>IF(OR(COUNTIF(Feiertage_Hessen_2025!$C$4:$C$13,A72)&gt;0,WEEKDAY(A72,2)=7),"FT",IF(WEEKDAY(A72,2)=6,"SA","WT"))</f>
        <v>WT</v>
      </c>
      <c r="F72" s="69">
        <f>INDEX('BDEW-H25 Tagessummen'!$C$4:$C$39, MATCH(C72&amp;"_"&amp;E72, 'BDEW-H25 Tagessummen'!$D$4:$D$39, 0))</f>
        <v>2398.8849999999993</v>
      </c>
      <c r="G72" s="69">
        <f t="shared" si="10"/>
        <v>1.139791941048</v>
      </c>
      <c r="H72" s="69">
        <f>Tabelle1[[#This Row],[Profilwert (kWh)]]*Tabelle1[[#This Row],[Dynamisierungsfaktor]]</f>
        <v>2734.2297905009304</v>
      </c>
      <c r="I72" s="69">
        <f>Annahmen!$B$5*(H72/SUM($H$2:$H$366))</f>
        <v>13.677062202342464</v>
      </c>
      <c r="J72" s="69">
        <f>Annahmen!$B$6</f>
        <v>130</v>
      </c>
      <c r="K72" s="69">
        <f t="shared" si="14"/>
        <v>1778.0180863045202</v>
      </c>
      <c r="L72" s="69">
        <f>I72*Annahmen!$B$7</f>
        <v>9.5739435416397249</v>
      </c>
      <c r="M72" s="69">
        <f>I72*(1-Annahmen!$B$7)</f>
        <v>4.1031186607027399</v>
      </c>
      <c r="N72" s="69">
        <f>Annahmen!$B$8</f>
        <v>78</v>
      </c>
      <c r="O72" s="72">
        <f>INDEX(Quelle_SMARD_Preise_2025!$C$11:$C$375, MATCH($A72,Quelle_SMARD_Preise_2025!$A$11:$A$375, 0))</f>
        <v>124.87</v>
      </c>
      <c r="P72" s="69">
        <f t="shared" si="15"/>
        <v>746.7675962478985</v>
      </c>
      <c r="Q72" s="69">
        <f t="shared" si="16"/>
        <v>512.35642716195116</v>
      </c>
      <c r="R72" s="73">
        <f>Annahmen!$B$9</f>
        <v>0.05</v>
      </c>
      <c r="S72" s="69">
        <f t="shared" si="17"/>
        <v>0.68385311011712324</v>
      </c>
      <c r="T72" s="69">
        <f t="shared" si="18"/>
        <v>0</v>
      </c>
      <c r="U72" s="74">
        <f>$O72+Annahmen!$B$10+(T72*Annahmen!$B$11)</f>
        <v>132.87</v>
      </c>
      <c r="V72" s="74">
        <f t="shared" si="11"/>
        <v>90.863562741262172</v>
      </c>
      <c r="W72" s="74">
        <f t="shared" si="19"/>
        <v>428.03050015340852</v>
      </c>
    </row>
    <row r="73" spans="1:23" x14ac:dyDescent="0.35">
      <c r="A73" s="70">
        <v>45729</v>
      </c>
      <c r="B73" s="71" t="str">
        <f t="shared" si="12"/>
        <v>Do</v>
      </c>
      <c r="C73" s="69">
        <f t="shared" si="13"/>
        <v>3</v>
      </c>
      <c r="D73" s="69">
        <v>72</v>
      </c>
      <c r="E73" s="69" t="str">
        <f>IF(OR(COUNTIF(Feiertage_Hessen_2025!$C$4:$C$13,A73)&gt;0,WEEKDAY(A73,2)=7),"FT",IF(WEEKDAY(A73,2)=6,"SA","WT"))</f>
        <v>WT</v>
      </c>
      <c r="F73" s="69">
        <f>INDEX('BDEW-H25 Tagessummen'!$C$4:$C$39, MATCH(C73&amp;"_"&amp;E73, 'BDEW-H25 Tagessummen'!$D$4:$D$39, 0))</f>
        <v>2398.8849999999993</v>
      </c>
      <c r="G73" s="69">
        <f t="shared" si="10"/>
        <v>1.1361880084480001</v>
      </c>
      <c r="H73" s="69">
        <f>Tabelle1[[#This Row],[Profilwert (kWh)]]*Tabelle1[[#This Row],[Dynamisierungsfaktor]]</f>
        <v>2725.5843706457799</v>
      </c>
      <c r="I73" s="69">
        <f>Annahmen!$B$5*(H73/SUM($H$2:$H$366))</f>
        <v>13.633816405835143</v>
      </c>
      <c r="J73" s="69">
        <f>Annahmen!$B$6</f>
        <v>130</v>
      </c>
      <c r="K73" s="69">
        <f t="shared" si="14"/>
        <v>1772.3961327585685</v>
      </c>
      <c r="L73" s="69">
        <f>I73*Annahmen!$B$7</f>
        <v>9.5436714840845998</v>
      </c>
      <c r="M73" s="69">
        <f>I73*(1-Annahmen!$B$7)</f>
        <v>4.090144921750543</v>
      </c>
      <c r="N73" s="69">
        <f>Annahmen!$B$8</f>
        <v>78</v>
      </c>
      <c r="O73" s="72">
        <f>INDEX(Quelle_SMARD_Preise_2025!$C$11:$C$375, MATCH($A73,Quelle_SMARD_Preise_2025!$A$11:$A$375, 0))</f>
        <v>125.14</v>
      </c>
      <c r="P73" s="69">
        <f t="shared" si="15"/>
        <v>744.40637575859876</v>
      </c>
      <c r="Q73" s="69">
        <f t="shared" si="16"/>
        <v>511.84073550786297</v>
      </c>
      <c r="R73" s="73">
        <f>Annahmen!$B$9</f>
        <v>0.05</v>
      </c>
      <c r="S73" s="69">
        <f t="shared" si="17"/>
        <v>0.6816908202917572</v>
      </c>
      <c r="T73" s="69">
        <f t="shared" si="18"/>
        <v>0</v>
      </c>
      <c r="U73" s="74">
        <f>$O73+Annahmen!$B$10+(T73*Annahmen!$B$11)</f>
        <v>133.13999999999999</v>
      </c>
      <c r="V73" s="74">
        <f t="shared" si="11"/>
        <v>90.760315813644539</v>
      </c>
      <c r="W73" s="74">
        <f t="shared" si="19"/>
        <v>425.38870567846232</v>
      </c>
    </row>
    <row r="74" spans="1:23" x14ac:dyDescent="0.35">
      <c r="A74" s="70">
        <v>45730</v>
      </c>
      <c r="B74" s="71" t="str">
        <f t="shared" si="12"/>
        <v>Fr</v>
      </c>
      <c r="C74" s="69">
        <f t="shared" si="13"/>
        <v>3</v>
      </c>
      <c r="D74" s="69">
        <v>73</v>
      </c>
      <c r="E74" s="69" t="str">
        <f>IF(OR(COUNTIF(Feiertage_Hessen_2025!$C$4:$C$13,A74)&gt;0,WEEKDAY(A74,2)=7),"FT",IF(WEEKDAY(A74,2)=6,"SA","WT"))</f>
        <v>WT</v>
      </c>
      <c r="F74" s="69">
        <f>INDEX('BDEW-H25 Tagessummen'!$C$4:$C$39, MATCH(C74&amp;"_"&amp;E74, 'BDEW-H25 Tagessummen'!$D$4:$D$39, 0))</f>
        <v>2398.8849999999993</v>
      </c>
      <c r="G74" s="69">
        <f t="shared" si="10"/>
        <v>1.1325575295280002</v>
      </c>
      <c r="H74" s="69">
        <f>Tabelle1[[#This Row],[Profilwert (kWh)]]*Tabelle1[[#This Row],[Dynamisierungsfaktor]]</f>
        <v>2716.8752692217759</v>
      </c>
      <c r="I74" s="69">
        <f>Annahmen!$B$5*(H74/SUM($H$2:$H$366))</f>
        <v>13.590252063761028</v>
      </c>
      <c r="J74" s="69">
        <f>Annahmen!$B$6</f>
        <v>130</v>
      </c>
      <c r="K74" s="69">
        <f t="shared" si="14"/>
        <v>1766.7327682889336</v>
      </c>
      <c r="L74" s="69">
        <f>I74*Annahmen!$B$7</f>
        <v>9.5131764446327196</v>
      </c>
      <c r="M74" s="69">
        <f>I74*(1-Annahmen!$B$7)</f>
        <v>4.0770756191283093</v>
      </c>
      <c r="N74" s="69">
        <f>Annahmen!$B$8</f>
        <v>78</v>
      </c>
      <c r="O74" s="72">
        <f>INDEX(Quelle_SMARD_Preise_2025!$C$11:$C$375, MATCH($A74,Quelle_SMARD_Preise_2025!$A$11:$A$375, 0))</f>
        <v>121.23</v>
      </c>
      <c r="P74" s="69">
        <f t="shared" si="15"/>
        <v>742.0277626813521</v>
      </c>
      <c r="Q74" s="69">
        <f t="shared" si="16"/>
        <v>494.26387730692494</v>
      </c>
      <c r="R74" s="73">
        <f>Annahmen!$B$9</f>
        <v>0.05</v>
      </c>
      <c r="S74" s="69">
        <f t="shared" si="17"/>
        <v>0.6795126031880514</v>
      </c>
      <c r="T74" s="69">
        <f t="shared" si="18"/>
        <v>0</v>
      </c>
      <c r="U74" s="74">
        <f>$O74+Annahmen!$B$10+(T74*Annahmen!$B$11)</f>
        <v>129.23000000000002</v>
      </c>
      <c r="V74" s="74">
        <f t="shared" si="11"/>
        <v>87.813413709991892</v>
      </c>
      <c r="W74" s="74">
        <f t="shared" si="19"/>
        <v>442.62771459066448</v>
      </c>
    </row>
    <row r="75" spans="1:23" x14ac:dyDescent="0.35">
      <c r="A75" s="70">
        <v>45731</v>
      </c>
      <c r="B75" s="71" t="str">
        <f t="shared" si="12"/>
        <v>Sa</v>
      </c>
      <c r="C75" s="69">
        <f t="shared" si="13"/>
        <v>3</v>
      </c>
      <c r="D75" s="69">
        <v>74</v>
      </c>
      <c r="E75" s="69" t="str">
        <f>IF(OR(COUNTIF(Feiertage_Hessen_2025!$C$4:$C$13,A75)&gt;0,WEEKDAY(A75,2)=7),"FT",IF(WEEKDAY(A75,2)=6,"SA","WT"))</f>
        <v>SA</v>
      </c>
      <c r="F75" s="69">
        <f>INDEX('BDEW-H25 Tagessummen'!$C$4:$C$39, MATCH(C75&amp;"_"&amp;E75, 'BDEW-H25 Tagessummen'!$D$4:$D$39, 0))</f>
        <v>2784.876999999999</v>
      </c>
      <c r="G75" s="69">
        <f t="shared" si="10"/>
        <v>1.1289017422080001</v>
      </c>
      <c r="H75" s="69">
        <f>Tabelle1[[#This Row],[Profilwert (kWh)]]*Tabelle1[[#This Row],[Dynamisierungsfaktor]]</f>
        <v>3143.8524971349875</v>
      </c>
      <c r="I75" s="69">
        <f>Annahmen!$B$5*(H75/SUM($H$2:$H$366))</f>
        <v>15.726061616213773</v>
      </c>
      <c r="J75" s="69">
        <f>Annahmen!$B$6</f>
        <v>130</v>
      </c>
      <c r="K75" s="69">
        <f t="shared" si="14"/>
        <v>2044.3880101077905</v>
      </c>
      <c r="L75" s="69">
        <f>I75*Annahmen!$B$7</f>
        <v>11.008243131349641</v>
      </c>
      <c r="M75" s="69">
        <f>I75*(1-Annahmen!$B$7)</f>
        <v>4.7178184848641322</v>
      </c>
      <c r="N75" s="69">
        <f>Annahmen!$B$8</f>
        <v>78</v>
      </c>
      <c r="O75" s="72">
        <f>INDEX(Quelle_SMARD_Preise_2025!$C$11:$C$375, MATCH($A75,Quelle_SMARD_Preise_2025!$A$11:$A$375, 0))</f>
        <v>92.92</v>
      </c>
      <c r="P75" s="69">
        <f t="shared" si="15"/>
        <v>858.64296424527197</v>
      </c>
      <c r="Q75" s="69">
        <f t="shared" si="16"/>
        <v>438.37969361357517</v>
      </c>
      <c r="R75" s="73">
        <f>Annahmen!$B$9</f>
        <v>0.05</v>
      </c>
      <c r="S75" s="69">
        <f t="shared" si="17"/>
        <v>0.78630308081068867</v>
      </c>
      <c r="T75" s="69">
        <f t="shared" si="18"/>
        <v>0</v>
      </c>
      <c r="U75" s="74">
        <f>$O75+Annahmen!$B$10+(T75*Annahmen!$B$11)</f>
        <v>100.92</v>
      </c>
      <c r="V75" s="74">
        <f t="shared" si="11"/>
        <v>79.353706915414705</v>
      </c>
      <c r="W75" s="74">
        <f t="shared" si="19"/>
        <v>668.01164533352858</v>
      </c>
    </row>
    <row r="76" spans="1:23" x14ac:dyDescent="0.35">
      <c r="A76" s="70">
        <v>45732</v>
      </c>
      <c r="B76" s="71" t="str">
        <f t="shared" si="12"/>
        <v>So</v>
      </c>
      <c r="C76" s="69">
        <f t="shared" si="13"/>
        <v>3</v>
      </c>
      <c r="D76" s="69">
        <v>75</v>
      </c>
      <c r="E76" s="69" t="str">
        <f>IF(OR(COUNTIF(Feiertage_Hessen_2025!$C$4:$C$13,A76)&gt;0,WEEKDAY(A76,2)=7),"FT",IF(WEEKDAY(A76,2)=6,"SA","WT"))</f>
        <v>FT</v>
      </c>
      <c r="F76" s="69">
        <f>INDEX('BDEW-H25 Tagessummen'!$C$4:$C$39, MATCH(C76&amp;"_"&amp;E76, 'BDEW-H25 Tagessummen'!$D$4:$D$39, 0))</f>
        <v>2866.433</v>
      </c>
      <c r="G76" s="69">
        <f t="shared" si="10"/>
        <v>1.125221875</v>
      </c>
      <c r="H76" s="69">
        <f>Tabelle1[[#This Row],[Profilwert (kWh)]]*Tabelle1[[#This Row],[Dynamisierungsfaktor]]</f>
        <v>3225.3731148218749</v>
      </c>
      <c r="I76" s="69">
        <f>Annahmen!$B$5*(H76/SUM($H$2:$H$366))</f>
        <v>16.133841007232942</v>
      </c>
      <c r="J76" s="69">
        <f>Annahmen!$B$6</f>
        <v>130</v>
      </c>
      <c r="K76" s="69">
        <f t="shared" si="14"/>
        <v>2097.3993309402822</v>
      </c>
      <c r="L76" s="69">
        <f>I76*Annahmen!$B$7</f>
        <v>11.293688705063058</v>
      </c>
      <c r="M76" s="69">
        <f>I76*(1-Annahmen!$B$7)</f>
        <v>4.8401523021698836</v>
      </c>
      <c r="N76" s="69">
        <f>Annahmen!$B$8</f>
        <v>78</v>
      </c>
      <c r="O76" s="72">
        <f>INDEX(Quelle_SMARD_Preise_2025!$C$11:$C$375, MATCH($A76,Quelle_SMARD_Preise_2025!$A$11:$A$375, 0))</f>
        <v>72.03</v>
      </c>
      <c r="P76" s="69">
        <f t="shared" si="15"/>
        <v>880.90771899491858</v>
      </c>
      <c r="Q76" s="69">
        <f t="shared" si="16"/>
        <v>348.63617032529675</v>
      </c>
      <c r="R76" s="73">
        <f>Annahmen!$B$9</f>
        <v>0.05</v>
      </c>
      <c r="S76" s="69">
        <f t="shared" si="17"/>
        <v>0.80669205036164715</v>
      </c>
      <c r="T76" s="69">
        <f t="shared" si="18"/>
        <v>0</v>
      </c>
      <c r="U76" s="74">
        <f>$O76+Annahmen!$B$10+(T76*Annahmen!$B$11)</f>
        <v>80.03</v>
      </c>
      <c r="V76" s="74">
        <f t="shared" si="11"/>
        <v>64.559564790442622</v>
      </c>
      <c r="W76" s="74">
        <f t="shared" si="19"/>
        <v>803.29587682962438</v>
      </c>
    </row>
    <row r="77" spans="1:23" x14ac:dyDescent="0.35">
      <c r="A77" s="70">
        <v>45733</v>
      </c>
      <c r="B77" s="71" t="str">
        <f t="shared" si="12"/>
        <v>Mo</v>
      </c>
      <c r="C77" s="69">
        <f t="shared" si="13"/>
        <v>3</v>
      </c>
      <c r="D77" s="69">
        <v>76</v>
      </c>
      <c r="E77" s="69" t="str">
        <f>IF(OR(COUNTIF(Feiertage_Hessen_2025!$C$4:$C$13,A77)&gt;0,WEEKDAY(A77,2)=7),"FT",IF(WEEKDAY(A77,2)=6,"SA","WT"))</f>
        <v>WT</v>
      </c>
      <c r="F77" s="69">
        <f>INDEX('BDEW-H25 Tagessummen'!$C$4:$C$39, MATCH(C77&amp;"_"&amp;E77, 'BDEW-H25 Tagessummen'!$D$4:$D$39, 0))</f>
        <v>2398.8849999999993</v>
      </c>
      <c r="G77" s="69">
        <f t="shared" si="10"/>
        <v>1.1215191470080002</v>
      </c>
      <c r="H77" s="69">
        <f>Tabelle1[[#This Row],[Profilwert (kWh)]]*Tabelle1[[#This Row],[Dynamisierungsfaktor]]</f>
        <v>2690.3954589702857</v>
      </c>
      <c r="I77" s="69">
        <f>Annahmen!$B$5*(H77/SUM($H$2:$H$366))</f>
        <v>13.457795745285505</v>
      </c>
      <c r="J77" s="69">
        <f>Annahmen!$B$6</f>
        <v>130</v>
      </c>
      <c r="K77" s="69">
        <f t="shared" si="14"/>
        <v>1749.5134468871156</v>
      </c>
      <c r="L77" s="69">
        <f>I77*Annahmen!$B$7</f>
        <v>9.4204570216998533</v>
      </c>
      <c r="M77" s="69">
        <f>I77*(1-Annahmen!$B$7)</f>
        <v>4.0373387235856519</v>
      </c>
      <c r="N77" s="69">
        <f>Annahmen!$B$8</f>
        <v>78</v>
      </c>
      <c r="O77" s="72">
        <f>INDEX(Quelle_SMARD_Preise_2025!$C$11:$C$375, MATCH($A77,Quelle_SMARD_Preise_2025!$A$11:$A$375, 0))</f>
        <v>99.11</v>
      </c>
      <c r="P77" s="69">
        <f t="shared" si="15"/>
        <v>734.79564769258855</v>
      </c>
      <c r="Q77" s="69">
        <f t="shared" si="16"/>
        <v>400.14064089457395</v>
      </c>
      <c r="R77" s="73">
        <f>Annahmen!$B$9</f>
        <v>0.05</v>
      </c>
      <c r="S77" s="69">
        <f t="shared" si="17"/>
        <v>0.67288978726427529</v>
      </c>
      <c r="T77" s="69">
        <f t="shared" si="18"/>
        <v>0</v>
      </c>
      <c r="U77" s="74">
        <f>$O77+Annahmen!$B$10+(T77*Annahmen!$B$11)</f>
        <v>107.11</v>
      </c>
      <c r="V77" s="74">
        <f t="shared" si="11"/>
        <v>72.073225113876532</v>
      </c>
      <c r="W77" s="74">
        <f t="shared" si="19"/>
        <v>542.50393318607655</v>
      </c>
    </row>
    <row r="78" spans="1:23" x14ac:dyDescent="0.35">
      <c r="A78" s="70">
        <v>45734</v>
      </c>
      <c r="B78" s="71" t="str">
        <f t="shared" si="12"/>
        <v>Di</v>
      </c>
      <c r="C78" s="69">
        <f t="shared" si="13"/>
        <v>3</v>
      </c>
      <c r="D78" s="69">
        <v>77</v>
      </c>
      <c r="E78" s="69" t="str">
        <f>IF(OR(COUNTIF(Feiertage_Hessen_2025!$C$4:$C$13,A78)&gt;0,WEEKDAY(A78,2)=7),"FT",IF(WEEKDAY(A78,2)=6,"SA","WT"))</f>
        <v>WT</v>
      </c>
      <c r="F78" s="69">
        <f>INDEX('BDEW-H25 Tagessummen'!$C$4:$C$39, MATCH(C78&amp;"_"&amp;E78, 'BDEW-H25 Tagessummen'!$D$4:$D$39, 0))</f>
        <v>2398.8849999999993</v>
      </c>
      <c r="G78" s="69">
        <f t="shared" si="10"/>
        <v>1.117794767928</v>
      </c>
      <c r="H78" s="69">
        <f>Tabelle1[[#This Row],[Profilwert (kWh)]]*Tabelle1[[#This Row],[Dynamisierungsfaktor]]</f>
        <v>2681.4611018609594</v>
      </c>
      <c r="I78" s="69">
        <f>Annahmen!$B$5*(H78/SUM($H$2:$H$366))</f>
        <v>13.41310463762999</v>
      </c>
      <c r="J78" s="69">
        <f>Annahmen!$B$6</f>
        <v>130</v>
      </c>
      <c r="K78" s="69">
        <f t="shared" si="14"/>
        <v>1743.7036028918988</v>
      </c>
      <c r="L78" s="69">
        <f>I78*Annahmen!$B$7</f>
        <v>9.3891732463409934</v>
      </c>
      <c r="M78" s="69">
        <f>I78*(1-Annahmen!$B$7)</f>
        <v>4.0239313912889978</v>
      </c>
      <c r="N78" s="69">
        <f>Annahmen!$B$8</f>
        <v>78</v>
      </c>
      <c r="O78" s="72">
        <f>INDEX(Quelle_SMARD_Preise_2025!$C$11:$C$375, MATCH($A78,Quelle_SMARD_Preise_2025!$A$11:$A$375, 0))</f>
        <v>90.14</v>
      </c>
      <c r="P78" s="69">
        <f t="shared" si="15"/>
        <v>732.35551321459752</v>
      </c>
      <c r="Q78" s="69">
        <f t="shared" si="16"/>
        <v>362.71717561079026</v>
      </c>
      <c r="R78" s="73">
        <f>Annahmen!$B$9</f>
        <v>0.05</v>
      </c>
      <c r="S78" s="69">
        <f t="shared" si="17"/>
        <v>0.67065523188149956</v>
      </c>
      <c r="T78" s="69">
        <f t="shared" si="18"/>
        <v>0</v>
      </c>
      <c r="U78" s="74">
        <f>$O78+Annahmen!$B$10+(T78*Annahmen!$B$11)</f>
        <v>98.14</v>
      </c>
      <c r="V78" s="74">
        <f t="shared" si="11"/>
        <v>65.818104456850364</v>
      </c>
      <c r="W78" s="74">
        <f t="shared" si="19"/>
        <v>582.81280960966058</v>
      </c>
    </row>
    <row r="79" spans="1:23" x14ac:dyDescent="0.35">
      <c r="A79" s="70">
        <v>45735</v>
      </c>
      <c r="B79" s="71" t="str">
        <f t="shared" si="12"/>
        <v>Mi</v>
      </c>
      <c r="C79" s="69">
        <f t="shared" si="13"/>
        <v>3</v>
      </c>
      <c r="D79" s="69">
        <v>78</v>
      </c>
      <c r="E79" s="69" t="str">
        <f>IF(OR(COUNTIF(Feiertage_Hessen_2025!$C$4:$C$13,A79)&gt;0,WEEKDAY(A79,2)=7),"FT",IF(WEEKDAY(A79,2)=6,"SA","WT"))</f>
        <v>WT</v>
      </c>
      <c r="F79" s="69">
        <f>INDEX('BDEW-H25 Tagessummen'!$C$4:$C$39, MATCH(C79&amp;"_"&amp;E79, 'BDEW-H25 Tagessummen'!$D$4:$D$39, 0))</f>
        <v>2398.8849999999993</v>
      </c>
      <c r="G79" s="69">
        <f t="shared" si="10"/>
        <v>1.114049938048</v>
      </c>
      <c r="H79" s="69">
        <f>Tabelle1[[#This Row],[Profilwert (kWh)]]*Tabelle1[[#This Row],[Dynamisierungsfaktor]]</f>
        <v>2672.4776856342755</v>
      </c>
      <c r="I79" s="69">
        <f>Annahmen!$B$5*(H79/SUM($H$2:$H$366))</f>
        <v>13.368168128288769</v>
      </c>
      <c r="J79" s="69">
        <f>Annahmen!$B$6</f>
        <v>130</v>
      </c>
      <c r="K79" s="69">
        <f t="shared" si="14"/>
        <v>1737.8618566775399</v>
      </c>
      <c r="L79" s="69">
        <f>I79*Annahmen!$B$7</f>
        <v>9.3577176898021381</v>
      </c>
      <c r="M79" s="69">
        <f>I79*(1-Annahmen!$B$7)</f>
        <v>4.0104504384866315</v>
      </c>
      <c r="N79" s="69">
        <f>Annahmen!$B$8</f>
        <v>78</v>
      </c>
      <c r="O79" s="72">
        <f>INDEX(Quelle_SMARD_Preise_2025!$C$11:$C$375, MATCH($A79,Quelle_SMARD_Preise_2025!$A$11:$A$375, 0))</f>
        <v>104.39</v>
      </c>
      <c r="P79" s="69">
        <f t="shared" si="15"/>
        <v>729.90197980456674</v>
      </c>
      <c r="Q79" s="69">
        <f t="shared" si="16"/>
        <v>418.65092127361947</v>
      </c>
      <c r="R79" s="73">
        <f>Annahmen!$B$9</f>
        <v>0.05</v>
      </c>
      <c r="S79" s="69">
        <f t="shared" si="17"/>
        <v>0.66840840641443844</v>
      </c>
      <c r="T79" s="69">
        <f t="shared" si="18"/>
        <v>0</v>
      </c>
      <c r="U79" s="74">
        <f>$O79+Annahmen!$B$10+(T79*Annahmen!$B$11)</f>
        <v>112.39</v>
      </c>
      <c r="V79" s="74">
        <f t="shared" si="11"/>
        <v>75.122420796918732</v>
      </c>
      <c r="W79" s="74">
        <f t="shared" si="19"/>
        <v>514.18653480243495</v>
      </c>
    </row>
    <row r="80" spans="1:23" x14ac:dyDescent="0.35">
      <c r="A80" s="70">
        <v>45736</v>
      </c>
      <c r="B80" s="71" t="str">
        <f t="shared" si="12"/>
        <v>Do</v>
      </c>
      <c r="C80" s="69">
        <f t="shared" si="13"/>
        <v>3</v>
      </c>
      <c r="D80" s="69">
        <v>79</v>
      </c>
      <c r="E80" s="69" t="str">
        <f>IF(OR(COUNTIF(Feiertage_Hessen_2025!$C$4:$C$13,A80)&gt;0,WEEKDAY(A80,2)=7),"FT",IF(WEEKDAY(A80,2)=6,"SA","WT"))</f>
        <v>WT</v>
      </c>
      <c r="F80" s="69">
        <f>INDEX('BDEW-H25 Tagessummen'!$C$4:$C$39, MATCH(C80&amp;"_"&amp;E80, 'BDEW-H25 Tagessummen'!$D$4:$D$39, 0))</f>
        <v>2398.8849999999993</v>
      </c>
      <c r="G80" s="69">
        <f t="shared" si="10"/>
        <v>1.110285848248</v>
      </c>
      <c r="H80" s="69">
        <f>Tabelle1[[#This Row],[Profilwert (kWh)]]*Tabelle1[[#This Row],[Dynamisierungsfaktor]]</f>
        <v>2663.4480670744028</v>
      </c>
      <c r="I80" s="69">
        <f>Annahmen!$B$5*(H80/SUM($H$2:$H$366))</f>
        <v>13.323000507360982</v>
      </c>
      <c r="J80" s="69">
        <f>Annahmen!$B$6</f>
        <v>130</v>
      </c>
      <c r="K80" s="69">
        <f t="shared" si="14"/>
        <v>1731.9900659569278</v>
      </c>
      <c r="L80" s="69">
        <f>I80*Annahmen!$B$7</f>
        <v>9.3261003551526862</v>
      </c>
      <c r="M80" s="69">
        <f>I80*(1-Annahmen!$B$7)</f>
        <v>3.9969001522082954</v>
      </c>
      <c r="N80" s="69">
        <f>Annahmen!$B$8</f>
        <v>78</v>
      </c>
      <c r="O80" s="72">
        <f>INDEX(Quelle_SMARD_Preise_2025!$C$11:$C$375, MATCH($A80,Quelle_SMARD_Preise_2025!$A$11:$A$375, 0))</f>
        <v>108.3</v>
      </c>
      <c r="P80" s="69">
        <f t="shared" si="15"/>
        <v>727.43582770190949</v>
      </c>
      <c r="Q80" s="69">
        <f t="shared" si="16"/>
        <v>432.86428648415836</v>
      </c>
      <c r="R80" s="73">
        <f>Annahmen!$B$9</f>
        <v>0.05</v>
      </c>
      <c r="S80" s="69">
        <f t="shared" si="17"/>
        <v>0.66615002536804913</v>
      </c>
      <c r="T80" s="69">
        <f t="shared" si="18"/>
        <v>0</v>
      </c>
      <c r="U80" s="74">
        <f>$O80+Annahmen!$B$10+(T80*Annahmen!$B$11)</f>
        <v>116.3</v>
      </c>
      <c r="V80" s="74">
        <f t="shared" si="11"/>
        <v>77.473247950304113</v>
      </c>
      <c r="W80" s="74">
        <f t="shared" si="19"/>
        <v>494.21670382055584</v>
      </c>
    </row>
    <row r="81" spans="1:23" x14ac:dyDescent="0.35">
      <c r="A81" s="70">
        <v>45737</v>
      </c>
      <c r="B81" s="71" t="str">
        <f t="shared" si="12"/>
        <v>Fr</v>
      </c>
      <c r="C81" s="69">
        <f t="shared" si="13"/>
        <v>3</v>
      </c>
      <c r="D81" s="69">
        <v>80</v>
      </c>
      <c r="E81" s="69" t="str">
        <f>IF(OR(COUNTIF(Feiertage_Hessen_2025!$C$4:$C$13,A81)&gt;0,WEEKDAY(A81,2)=7),"FT",IF(WEEKDAY(A81,2)=6,"SA","WT"))</f>
        <v>WT</v>
      </c>
      <c r="F81" s="69">
        <f>INDEX('BDEW-H25 Tagessummen'!$C$4:$C$39, MATCH(C81&amp;"_"&amp;E81, 'BDEW-H25 Tagessummen'!$D$4:$D$39, 0))</f>
        <v>2398.8849999999993</v>
      </c>
      <c r="G81" s="69">
        <f t="shared" si="10"/>
        <v>1.1065036800000001</v>
      </c>
      <c r="H81" s="69">
        <f>Tabelle1[[#This Row],[Profilwert (kWh)]]*Tabelle1[[#This Row],[Dynamisierungsfaktor]]</f>
        <v>2654.3750803967996</v>
      </c>
      <c r="I81" s="69">
        <f>Annahmen!$B$5*(H81/SUM($H$2:$H$366))</f>
        <v>13.277615952053409</v>
      </c>
      <c r="J81" s="69">
        <f>Annahmen!$B$6</f>
        <v>130</v>
      </c>
      <c r="K81" s="69">
        <f t="shared" si="14"/>
        <v>1726.0900737669433</v>
      </c>
      <c r="L81" s="69">
        <f>I81*Annahmen!$B$7</f>
        <v>9.2943311664373862</v>
      </c>
      <c r="M81" s="69">
        <f>I81*(1-Annahmen!$B$7)</f>
        <v>3.9832847856160236</v>
      </c>
      <c r="N81" s="69">
        <f>Annahmen!$B$8</f>
        <v>78</v>
      </c>
      <c r="O81" s="72">
        <f>INDEX(Quelle_SMARD_Preise_2025!$C$11:$C$375, MATCH($A81,Quelle_SMARD_Preise_2025!$A$11:$A$375, 0))</f>
        <v>73.52</v>
      </c>
      <c r="P81" s="69">
        <f t="shared" si="15"/>
        <v>724.95783098211609</v>
      </c>
      <c r="Q81" s="69">
        <f t="shared" si="16"/>
        <v>292.85109743849006</v>
      </c>
      <c r="R81" s="73">
        <f>Annahmen!$B$9</f>
        <v>0.05</v>
      </c>
      <c r="S81" s="69">
        <f t="shared" si="17"/>
        <v>0.66388079760267049</v>
      </c>
      <c r="T81" s="69">
        <f t="shared" si="18"/>
        <v>0</v>
      </c>
      <c r="U81" s="74">
        <f>$O81+Annahmen!$B$10+(T81*Annahmen!$B$11)</f>
        <v>81.52</v>
      </c>
      <c r="V81" s="74">
        <f t="shared" si="11"/>
        <v>54.119562620569695</v>
      </c>
      <c r="W81" s="74">
        <f t="shared" si="19"/>
        <v>654.1615827257674</v>
      </c>
    </row>
    <row r="82" spans="1:23" x14ac:dyDescent="0.35">
      <c r="A82" s="70">
        <v>45738</v>
      </c>
      <c r="B82" s="71" t="str">
        <f t="shared" si="12"/>
        <v>Sa</v>
      </c>
      <c r="C82" s="69">
        <f t="shared" si="13"/>
        <v>3</v>
      </c>
      <c r="D82" s="69">
        <v>81</v>
      </c>
      <c r="E82" s="69" t="str">
        <f>IF(OR(COUNTIF(Feiertage_Hessen_2025!$C$4:$C$13,A82)&gt;0,WEEKDAY(A82,2)=7),"FT",IF(WEEKDAY(A82,2)=6,"SA","WT"))</f>
        <v>SA</v>
      </c>
      <c r="F82" s="69">
        <f>INDEX('BDEW-H25 Tagessummen'!$C$4:$C$39, MATCH(C82&amp;"_"&amp;E82, 'BDEW-H25 Tagessummen'!$D$4:$D$39, 0))</f>
        <v>2784.876999999999</v>
      </c>
      <c r="G82" s="69">
        <f t="shared" si="10"/>
        <v>1.1027046053680001</v>
      </c>
      <c r="H82" s="69">
        <f>Tabelle1[[#This Row],[Profilwert (kWh)]]*Tabelle1[[#This Row],[Dynamisierungsfaktor]]</f>
        <v>3070.8966932834187</v>
      </c>
      <c r="I82" s="69">
        <f>Annahmen!$B$5*(H82/SUM($H$2:$H$366))</f>
        <v>15.361124817278158</v>
      </c>
      <c r="J82" s="69">
        <f>Annahmen!$B$6</f>
        <v>130</v>
      </c>
      <c r="K82" s="69">
        <f t="shared" si="14"/>
        <v>1996.9462262461607</v>
      </c>
      <c r="L82" s="69">
        <f>I82*Annahmen!$B$7</f>
        <v>10.75278737209471</v>
      </c>
      <c r="M82" s="69">
        <f>I82*(1-Annahmen!$B$7)</f>
        <v>4.608337445183448</v>
      </c>
      <c r="N82" s="69">
        <f>Annahmen!$B$8</f>
        <v>78</v>
      </c>
      <c r="O82" s="72">
        <f>INDEX(Quelle_SMARD_Preise_2025!$C$11:$C$375, MATCH($A82,Quelle_SMARD_Preise_2025!$A$11:$A$375, 0))</f>
        <v>14.96</v>
      </c>
      <c r="P82" s="69">
        <f t="shared" si="15"/>
        <v>838.71741502338739</v>
      </c>
      <c r="Q82" s="69">
        <f t="shared" si="16"/>
        <v>68.940728179944387</v>
      </c>
      <c r="R82" s="73">
        <f>Annahmen!$B$9</f>
        <v>0.05</v>
      </c>
      <c r="S82" s="69">
        <f t="shared" si="17"/>
        <v>0.768056240863908</v>
      </c>
      <c r="T82" s="69">
        <f t="shared" si="18"/>
        <v>0</v>
      </c>
      <c r="U82" s="74">
        <f>$O82+Annahmen!$B$10+(T82*Annahmen!$B$11)</f>
        <v>22.96</v>
      </c>
      <c r="V82" s="74">
        <f t="shared" si="11"/>
        <v>17.634571290235328</v>
      </c>
      <c r="W82" s="74">
        <f t="shared" si="19"/>
        <v>1071.6535117525937</v>
      </c>
    </row>
    <row r="83" spans="1:23" x14ac:dyDescent="0.35">
      <c r="A83" s="70">
        <v>45739</v>
      </c>
      <c r="B83" s="71" t="str">
        <f t="shared" si="12"/>
        <v>So</v>
      </c>
      <c r="C83" s="69">
        <f t="shared" si="13"/>
        <v>3</v>
      </c>
      <c r="D83" s="69">
        <v>82</v>
      </c>
      <c r="E83" s="69" t="str">
        <f>IF(OR(COUNTIF(Feiertage_Hessen_2025!$C$4:$C$13,A83)&gt;0,WEEKDAY(A83,2)=7),"FT",IF(WEEKDAY(A83,2)=6,"SA","WT"))</f>
        <v>FT</v>
      </c>
      <c r="F83" s="69">
        <f>INDEX('BDEW-H25 Tagessummen'!$C$4:$C$39, MATCH(C83&amp;"_"&amp;E83, 'BDEW-H25 Tagessummen'!$D$4:$D$39, 0))</f>
        <v>2866.433</v>
      </c>
      <c r="G83" s="69">
        <f t="shared" si="10"/>
        <v>1.0988897870080001</v>
      </c>
      <c r="H83" s="69">
        <f>Tabelle1[[#This Row],[Profilwert (kWh)]]*Tabelle1[[#This Row],[Dynamisierungsfaktor]]</f>
        <v>3149.8939488427027</v>
      </c>
      <c r="I83" s="69">
        <f>Annahmen!$B$5*(H83/SUM($H$2:$H$366))</f>
        <v>15.756281940447652</v>
      </c>
      <c r="J83" s="69">
        <f>Annahmen!$B$6</f>
        <v>130</v>
      </c>
      <c r="K83" s="69">
        <f t="shared" si="14"/>
        <v>2048.3166522581946</v>
      </c>
      <c r="L83" s="69">
        <f>I83*Annahmen!$B$7</f>
        <v>11.029397358313355</v>
      </c>
      <c r="M83" s="69">
        <f>I83*(1-Annahmen!$B$7)</f>
        <v>4.7268845821342964</v>
      </c>
      <c r="N83" s="69">
        <f>Annahmen!$B$8</f>
        <v>78</v>
      </c>
      <c r="O83" s="72">
        <f>INDEX(Quelle_SMARD_Preise_2025!$C$11:$C$375, MATCH($A83,Quelle_SMARD_Preise_2025!$A$11:$A$375, 0))</f>
        <v>54.96</v>
      </c>
      <c r="P83" s="69">
        <f t="shared" si="15"/>
        <v>860.29299394844168</v>
      </c>
      <c r="Q83" s="69">
        <f t="shared" si="16"/>
        <v>259.78957663410091</v>
      </c>
      <c r="R83" s="73">
        <f>Annahmen!$B$9</f>
        <v>0.05</v>
      </c>
      <c r="S83" s="69">
        <f t="shared" si="17"/>
        <v>0.78781409702238259</v>
      </c>
      <c r="T83" s="69">
        <f t="shared" si="18"/>
        <v>0</v>
      </c>
      <c r="U83" s="74">
        <f>$O83+Annahmen!$B$10+(T83*Annahmen!$B$11)</f>
        <v>62.96</v>
      </c>
      <c r="V83" s="74">
        <f t="shared" si="11"/>
        <v>49.600775548529207</v>
      </c>
      <c r="W83" s="74">
        <f t="shared" si="19"/>
        <v>878.63330612712286</v>
      </c>
    </row>
    <row r="84" spans="1:23" x14ac:dyDescent="0.35">
      <c r="A84" s="70">
        <v>45740</v>
      </c>
      <c r="B84" s="71" t="str">
        <f t="shared" si="12"/>
        <v>Mo</v>
      </c>
      <c r="C84" s="69">
        <f t="shared" si="13"/>
        <v>3</v>
      </c>
      <c r="D84" s="69">
        <v>83</v>
      </c>
      <c r="E84" s="69" t="str">
        <f>IF(OR(COUNTIF(Feiertage_Hessen_2025!$C$4:$C$13,A84)&gt;0,WEEKDAY(A84,2)=7),"FT",IF(WEEKDAY(A84,2)=6,"SA","WT"))</f>
        <v>WT</v>
      </c>
      <c r="F84" s="69">
        <f>INDEX('BDEW-H25 Tagessummen'!$C$4:$C$39, MATCH(C84&amp;"_"&amp;E84, 'BDEW-H25 Tagessummen'!$D$4:$D$39, 0))</f>
        <v>2398.8849999999993</v>
      </c>
      <c r="G84" s="69">
        <f t="shared" si="10"/>
        <v>1.0950603781680002</v>
      </c>
      <c r="H84" s="69">
        <f>Tabelle1[[#This Row],[Profilwert (kWh)]]*Tabelle1[[#This Row],[Dynamisierungsfaktor]]</f>
        <v>2626.9239152815421</v>
      </c>
      <c r="I84" s="69">
        <f>Annahmen!$B$5*(H84/SUM($H$2:$H$366))</f>
        <v>13.140300758534373</v>
      </c>
      <c r="J84" s="69">
        <f>Annahmen!$B$6</f>
        <v>130</v>
      </c>
      <c r="K84" s="69">
        <f t="shared" si="14"/>
        <v>1708.2390986094686</v>
      </c>
      <c r="L84" s="69">
        <f>I84*Annahmen!$B$7</f>
        <v>9.1982105309740607</v>
      </c>
      <c r="M84" s="69">
        <f>I84*(1-Annahmen!$B$7)</f>
        <v>3.9420902275603127</v>
      </c>
      <c r="N84" s="69">
        <f>Annahmen!$B$8</f>
        <v>78</v>
      </c>
      <c r="O84" s="72">
        <f>INDEX(Quelle_SMARD_Preise_2025!$C$11:$C$375, MATCH($A84,Quelle_SMARD_Preise_2025!$A$11:$A$375, 0))</f>
        <v>129.88</v>
      </c>
      <c r="P84" s="69">
        <f t="shared" si="15"/>
        <v>717.46042141597673</v>
      </c>
      <c r="Q84" s="69">
        <f t="shared" si="16"/>
        <v>511.99867875553338</v>
      </c>
      <c r="R84" s="73">
        <f>Annahmen!$B$9</f>
        <v>0.05</v>
      </c>
      <c r="S84" s="69">
        <f t="shared" si="17"/>
        <v>0.65701503792671867</v>
      </c>
      <c r="T84" s="69">
        <f t="shared" si="18"/>
        <v>0</v>
      </c>
      <c r="U84" s="74">
        <f>$O84+Annahmen!$B$10+(T84*Annahmen!$B$11)</f>
        <v>137.88</v>
      </c>
      <c r="V84" s="74">
        <f t="shared" si="11"/>
        <v>90.589233429335962</v>
      </c>
      <c r="W84" s="74">
        <f t="shared" si="19"/>
        <v>388.19076500862252</v>
      </c>
    </row>
    <row r="85" spans="1:23" x14ac:dyDescent="0.35">
      <c r="A85" s="70">
        <v>45741</v>
      </c>
      <c r="B85" s="71" t="str">
        <f t="shared" si="12"/>
        <v>Di</v>
      </c>
      <c r="C85" s="69">
        <f t="shared" si="13"/>
        <v>3</v>
      </c>
      <c r="D85" s="69">
        <v>84</v>
      </c>
      <c r="E85" s="69" t="str">
        <f>IF(OR(COUNTIF(Feiertage_Hessen_2025!$C$4:$C$13,A85)&gt;0,WEEKDAY(A85,2)=7),"FT",IF(WEEKDAY(A85,2)=6,"SA","WT"))</f>
        <v>WT</v>
      </c>
      <c r="F85" s="69">
        <f>INDEX('BDEW-H25 Tagessummen'!$C$4:$C$39, MATCH(C85&amp;"_"&amp;E85, 'BDEW-H25 Tagessummen'!$D$4:$D$39, 0))</f>
        <v>2398.8849999999993</v>
      </c>
      <c r="G85" s="69">
        <f t="shared" si="10"/>
        <v>1.0912175226880001</v>
      </c>
      <c r="H85" s="69">
        <f>Tabelle1[[#This Row],[Profilwert (kWh)]]*Tabelle1[[#This Row],[Dynamisierungsfaktor]]</f>
        <v>2617.7053469134025</v>
      </c>
      <c r="I85" s="69">
        <f>Annahmen!$B$5*(H85/SUM($H$2:$H$366))</f>
        <v>13.094187979928266</v>
      </c>
      <c r="J85" s="69">
        <f>Annahmen!$B$6</f>
        <v>130</v>
      </c>
      <c r="K85" s="69">
        <f t="shared" si="14"/>
        <v>1702.2444373906746</v>
      </c>
      <c r="L85" s="69">
        <f>I85*Annahmen!$B$7</f>
        <v>9.1659315859497852</v>
      </c>
      <c r="M85" s="69">
        <f>I85*(1-Annahmen!$B$7)</f>
        <v>3.9282563939784807</v>
      </c>
      <c r="N85" s="69">
        <f>Annahmen!$B$8</f>
        <v>78</v>
      </c>
      <c r="O85" s="72">
        <f>INDEX(Quelle_SMARD_Preise_2025!$C$11:$C$375, MATCH($A85,Quelle_SMARD_Preise_2025!$A$11:$A$375, 0))</f>
        <v>111.78</v>
      </c>
      <c r="P85" s="69">
        <f t="shared" si="15"/>
        <v>714.9426637040832</v>
      </c>
      <c r="Q85" s="69">
        <f t="shared" si="16"/>
        <v>439.10049971891459</v>
      </c>
      <c r="R85" s="73">
        <f>Annahmen!$B$9</f>
        <v>0.05</v>
      </c>
      <c r="S85" s="69">
        <f t="shared" si="17"/>
        <v>0.65470939899641334</v>
      </c>
      <c r="T85" s="69">
        <f t="shared" si="18"/>
        <v>0</v>
      </c>
      <c r="U85" s="74">
        <f>$O85+Annahmen!$B$10+(T85*Annahmen!$B$11)</f>
        <v>119.78</v>
      </c>
      <c r="V85" s="74">
        <f t="shared" si="11"/>
        <v>78.42109181179039</v>
      </c>
      <c r="W85" s="74">
        <f t="shared" si="19"/>
        <v>469.78018215588639</v>
      </c>
    </row>
    <row r="86" spans="1:23" x14ac:dyDescent="0.35">
      <c r="A86" s="70">
        <v>45742</v>
      </c>
      <c r="B86" s="71" t="str">
        <f t="shared" si="12"/>
        <v>Mi</v>
      </c>
      <c r="C86" s="69">
        <f t="shared" si="13"/>
        <v>3</v>
      </c>
      <c r="D86" s="69">
        <v>85</v>
      </c>
      <c r="E86" s="69" t="str">
        <f>IF(OR(COUNTIF(Feiertage_Hessen_2025!$C$4:$C$13,A86)&gt;0,WEEKDAY(A86,2)=7),"FT",IF(WEEKDAY(A86,2)=6,"SA","WT"))</f>
        <v>WT</v>
      </c>
      <c r="F86" s="69">
        <f>INDEX('BDEW-H25 Tagessummen'!$C$4:$C$39, MATCH(C86&amp;"_"&amp;E86, 'BDEW-H25 Tagessummen'!$D$4:$D$39, 0))</f>
        <v>2398.8849999999993</v>
      </c>
      <c r="G86" s="69">
        <f t="shared" si="10"/>
        <v>1.087362355</v>
      </c>
      <c r="H86" s="69">
        <f>Tabelle1[[#This Row],[Profilwert (kWh)]]*Tabelle1[[#This Row],[Dynamisierungsfaktor]]</f>
        <v>2608.4572429741743</v>
      </c>
      <c r="I86" s="69">
        <f>Annahmen!$B$5*(H86/SUM($H$2:$H$366))</f>
        <v>13.047927459590881</v>
      </c>
      <c r="J86" s="69">
        <f>Annahmen!$B$6</f>
        <v>130</v>
      </c>
      <c r="K86" s="69">
        <f t="shared" si="14"/>
        <v>1696.2305697468146</v>
      </c>
      <c r="L86" s="69">
        <f>I86*Annahmen!$B$7</f>
        <v>9.1335492217136149</v>
      </c>
      <c r="M86" s="69">
        <f>I86*(1-Annahmen!$B$7)</f>
        <v>3.9143782378772647</v>
      </c>
      <c r="N86" s="69">
        <f>Annahmen!$B$8</f>
        <v>78</v>
      </c>
      <c r="O86" s="72">
        <f>INDEX(Quelle_SMARD_Preise_2025!$C$11:$C$375, MATCH($A86,Quelle_SMARD_Preise_2025!$A$11:$A$375, 0))</f>
        <v>114.53</v>
      </c>
      <c r="P86" s="69">
        <f t="shared" si="15"/>
        <v>712.41683929366195</v>
      </c>
      <c r="Q86" s="69">
        <f t="shared" si="16"/>
        <v>448.31373958408312</v>
      </c>
      <c r="R86" s="73">
        <f>Annahmen!$B$9</f>
        <v>0.05</v>
      </c>
      <c r="S86" s="69">
        <f t="shared" si="17"/>
        <v>0.65239637297954411</v>
      </c>
      <c r="T86" s="69">
        <f t="shared" si="18"/>
        <v>0</v>
      </c>
      <c r="U86" s="74">
        <f>$O86+Annahmen!$B$10+(T86*Annahmen!$B$11)</f>
        <v>122.53</v>
      </c>
      <c r="V86" s="74">
        <f t="shared" si="11"/>
        <v>79.938127581183537</v>
      </c>
      <c r="W86" s="74">
        <f t="shared" si="19"/>
        <v>455.56186328788596</v>
      </c>
    </row>
    <row r="87" spans="1:23" x14ac:dyDescent="0.35">
      <c r="A87" s="70">
        <v>45743</v>
      </c>
      <c r="B87" s="71" t="str">
        <f t="shared" si="12"/>
        <v>Do</v>
      </c>
      <c r="C87" s="69">
        <f t="shared" si="13"/>
        <v>3</v>
      </c>
      <c r="D87" s="69">
        <v>86</v>
      </c>
      <c r="E87" s="69" t="str">
        <f>IF(OR(COUNTIF(Feiertage_Hessen_2025!$C$4:$C$13,A87)&gt;0,WEEKDAY(A87,2)=7),"FT",IF(WEEKDAY(A87,2)=6,"SA","WT"))</f>
        <v>WT</v>
      </c>
      <c r="F87" s="69">
        <f>INDEX('BDEW-H25 Tagessummen'!$C$4:$C$39, MATCH(C87&amp;"_"&amp;E87, 'BDEW-H25 Tagessummen'!$D$4:$D$39, 0))</f>
        <v>2398.8849999999993</v>
      </c>
      <c r="G87" s="69">
        <f t="shared" si="10"/>
        <v>1.0834960001280001</v>
      </c>
      <c r="H87" s="69">
        <f>Tabelle1[[#This Row],[Profilwert (kWh)]]*Tabelle1[[#This Row],[Dynamisierungsfaktor]]</f>
        <v>2599.1823022670569</v>
      </c>
      <c r="I87" s="69">
        <f>Annahmen!$B$5*(H87/SUM($H$2:$H$366))</f>
        <v>13.001532697374849</v>
      </c>
      <c r="J87" s="69">
        <f>Annahmen!$B$6</f>
        <v>130</v>
      </c>
      <c r="K87" s="69">
        <f t="shared" si="14"/>
        <v>1690.1992506587303</v>
      </c>
      <c r="L87" s="69">
        <f>I87*Annahmen!$B$7</f>
        <v>9.1010728881623937</v>
      </c>
      <c r="M87" s="69">
        <f>I87*(1-Annahmen!$B$7)</f>
        <v>3.9004598092124549</v>
      </c>
      <c r="N87" s="69">
        <f>Annahmen!$B$8</f>
        <v>78</v>
      </c>
      <c r="O87" s="72">
        <f>INDEX(Quelle_SMARD_Preise_2025!$C$11:$C$375, MATCH($A87,Quelle_SMARD_Preise_2025!$A$11:$A$375, 0))</f>
        <v>98.97</v>
      </c>
      <c r="P87" s="69">
        <f t="shared" si="15"/>
        <v>709.88368527666671</v>
      </c>
      <c r="Q87" s="69">
        <f t="shared" si="16"/>
        <v>386.02850731775663</v>
      </c>
      <c r="R87" s="73">
        <f>Annahmen!$B$9</f>
        <v>0.05</v>
      </c>
      <c r="S87" s="69">
        <f t="shared" si="17"/>
        <v>0.65007663486874245</v>
      </c>
      <c r="T87" s="69">
        <f t="shared" si="18"/>
        <v>0</v>
      </c>
      <c r="U87" s="74">
        <f>$O87+Annahmen!$B$10+(T87*Annahmen!$B$11)</f>
        <v>106.97</v>
      </c>
      <c r="V87" s="74">
        <f t="shared" si="11"/>
        <v>69.538697631909386</v>
      </c>
      <c r="W87" s="74">
        <f t="shared" si="19"/>
        <v>524.74836043239759</v>
      </c>
    </row>
    <row r="88" spans="1:23" x14ac:dyDescent="0.35">
      <c r="A88" s="70">
        <v>45744</v>
      </c>
      <c r="B88" s="71" t="str">
        <f t="shared" si="12"/>
        <v>Fr</v>
      </c>
      <c r="C88" s="69">
        <f t="shared" si="13"/>
        <v>3</v>
      </c>
      <c r="D88" s="69">
        <v>87</v>
      </c>
      <c r="E88" s="69" t="str">
        <f>IF(OR(COUNTIF(Feiertage_Hessen_2025!$C$4:$C$13,A88)&gt;0,WEEKDAY(A88,2)=7),"FT",IF(WEEKDAY(A88,2)=6,"SA","WT"))</f>
        <v>WT</v>
      </c>
      <c r="F88" s="69">
        <f>INDEX('BDEW-H25 Tagessummen'!$C$4:$C$39, MATCH(C88&amp;"_"&amp;E88, 'BDEW-H25 Tagessummen'!$D$4:$D$39, 0))</f>
        <v>2398.8849999999993</v>
      </c>
      <c r="G88" s="69">
        <f t="shared" si="10"/>
        <v>1.0796195736879999</v>
      </c>
      <c r="H88" s="69">
        <f>Tabelle1[[#This Row],[Profilwert (kWh)]]*Tabelle1[[#This Row],[Dynamisierungsfaktor]]</f>
        <v>2589.8832010265369</v>
      </c>
      <c r="I88" s="69">
        <f>Annahmen!$B$5*(H88/SUM($H$2:$H$366))</f>
        <v>12.955017080240427</v>
      </c>
      <c r="J88" s="69">
        <f>Annahmen!$B$6</f>
        <v>130</v>
      </c>
      <c r="K88" s="69">
        <f t="shared" si="14"/>
        <v>1684.1522204312555</v>
      </c>
      <c r="L88" s="69">
        <f>I88*Annahmen!$B$7</f>
        <v>9.0685119561682992</v>
      </c>
      <c r="M88" s="69">
        <f>I88*(1-Annahmen!$B$7)</f>
        <v>3.8865051240721287</v>
      </c>
      <c r="N88" s="69">
        <f>Annahmen!$B$8</f>
        <v>78</v>
      </c>
      <c r="O88" s="72">
        <f>INDEX(Quelle_SMARD_Preise_2025!$C$11:$C$375, MATCH($A88,Quelle_SMARD_Preise_2025!$A$11:$A$375, 0))</f>
        <v>88.34</v>
      </c>
      <c r="P88" s="69">
        <f t="shared" si="15"/>
        <v>707.34393258112732</v>
      </c>
      <c r="Q88" s="69">
        <f t="shared" si="16"/>
        <v>343.33386266053185</v>
      </c>
      <c r="R88" s="73">
        <f>Annahmen!$B$9</f>
        <v>0.05</v>
      </c>
      <c r="S88" s="69">
        <f t="shared" si="17"/>
        <v>0.64775085401202137</v>
      </c>
      <c r="T88" s="69">
        <f t="shared" si="18"/>
        <v>0</v>
      </c>
      <c r="U88" s="74">
        <f>$O88+Annahmen!$B$10+(T88*Annahmen!$B$11)</f>
        <v>96.34</v>
      </c>
      <c r="V88" s="74">
        <f t="shared" si="11"/>
        <v>62.404317275518139</v>
      </c>
      <c r="W88" s="74">
        <f t="shared" si="19"/>
        <v>571.07010791407822</v>
      </c>
    </row>
    <row r="89" spans="1:23" x14ac:dyDescent="0.35">
      <c r="A89" s="70">
        <v>45745</v>
      </c>
      <c r="B89" s="71" t="str">
        <f t="shared" si="12"/>
        <v>Sa</v>
      </c>
      <c r="C89" s="69">
        <f t="shared" si="13"/>
        <v>3</v>
      </c>
      <c r="D89" s="69">
        <v>88</v>
      </c>
      <c r="E89" s="69" t="str">
        <f>IF(OR(COUNTIF(Feiertage_Hessen_2025!$C$4:$C$13,A89)&gt;0,WEEKDAY(A89,2)=7),"FT",IF(WEEKDAY(A89,2)=6,"SA","WT"))</f>
        <v>SA</v>
      </c>
      <c r="F89" s="69">
        <f>INDEX('BDEW-H25 Tagessummen'!$C$4:$C$39, MATCH(C89&amp;"_"&amp;E89, 'BDEW-H25 Tagessummen'!$D$4:$D$39, 0))</f>
        <v>2784.876999999999</v>
      </c>
      <c r="G89" s="69">
        <f t="shared" si="10"/>
        <v>1.075734181888</v>
      </c>
      <c r="H89" s="69">
        <f>Tabelle1[[#This Row],[Profilwert (kWh)]]*Tabelle1[[#This Row],[Dynamisierungsfaktor]]</f>
        <v>2995.7873812537068</v>
      </c>
      <c r="I89" s="69">
        <f>Annahmen!$B$5*(H89/SUM($H$2:$H$366))</f>
        <v>14.985415820113984</v>
      </c>
      <c r="J89" s="69">
        <f>Annahmen!$B$6</f>
        <v>130</v>
      </c>
      <c r="K89" s="69">
        <f t="shared" si="14"/>
        <v>1948.1040566148179</v>
      </c>
      <c r="L89" s="69">
        <f>I89*Annahmen!$B$7</f>
        <v>10.489791074079788</v>
      </c>
      <c r="M89" s="69">
        <f>I89*(1-Annahmen!$B$7)</f>
        <v>4.4956247460341956</v>
      </c>
      <c r="N89" s="69">
        <f>Annahmen!$B$8</f>
        <v>78</v>
      </c>
      <c r="O89" s="72">
        <f>INDEX(Quelle_SMARD_Preise_2025!$C$11:$C$375, MATCH($A89,Quelle_SMARD_Preise_2025!$A$11:$A$375, 0))</f>
        <v>84.51</v>
      </c>
      <c r="P89" s="69">
        <f t="shared" si="15"/>
        <v>818.20370377822348</v>
      </c>
      <c r="Q89" s="69">
        <f t="shared" si="16"/>
        <v>379.92524728734992</v>
      </c>
      <c r="R89" s="73">
        <f>Annahmen!$B$9</f>
        <v>0.05</v>
      </c>
      <c r="S89" s="69">
        <f t="shared" si="17"/>
        <v>0.74927079100569927</v>
      </c>
      <c r="T89" s="69">
        <f t="shared" si="18"/>
        <v>0</v>
      </c>
      <c r="U89" s="74">
        <f>$O89+Annahmen!$B$10+(T89*Annahmen!$B$11)</f>
        <v>92.51</v>
      </c>
      <c r="V89" s="74">
        <f t="shared" si="11"/>
        <v>69.315040875937243</v>
      </c>
      <c r="W89" s="74">
        <f t="shared" si="19"/>
        <v>680.66006467330703</v>
      </c>
    </row>
    <row r="90" spans="1:23" x14ac:dyDescent="0.35">
      <c r="A90" s="70">
        <v>45746</v>
      </c>
      <c r="B90" s="71" t="str">
        <f t="shared" si="12"/>
        <v>So</v>
      </c>
      <c r="C90" s="69">
        <f t="shared" si="13"/>
        <v>3</v>
      </c>
      <c r="D90" s="69">
        <v>89</v>
      </c>
      <c r="E90" s="69" t="str">
        <f>IF(OR(COUNTIF(Feiertage_Hessen_2025!$C$4:$C$13,A90)&gt;0,WEEKDAY(A90,2)=7),"FT",IF(WEEKDAY(A90,2)=6,"SA","WT"))</f>
        <v>FT</v>
      </c>
      <c r="F90" s="69">
        <f>INDEX('BDEW-H25 Tagessummen'!$C$4:$C$39, MATCH(C90&amp;"_"&amp;E90, 'BDEW-H25 Tagessummen'!$D$4:$D$39, 0))</f>
        <v>2866.433</v>
      </c>
      <c r="G90" s="69">
        <f t="shared" si="10"/>
        <v>1.071840921528</v>
      </c>
      <c r="H90" s="69">
        <f>Tabelle1[[#This Row],[Profilwert (kWh)]]*Tabelle1[[#This Row],[Dynamisierungsfaktor]]</f>
        <v>3072.3601882182697</v>
      </c>
      <c r="I90" s="69">
        <f>Annahmen!$B$5*(H90/SUM($H$2:$H$366))</f>
        <v>15.368445457016016</v>
      </c>
      <c r="J90" s="69">
        <f>Annahmen!$B$6</f>
        <v>130</v>
      </c>
      <c r="K90" s="69">
        <f t="shared" si="14"/>
        <v>1997.8979094120821</v>
      </c>
      <c r="L90" s="69">
        <f>I90*Annahmen!$B$7</f>
        <v>10.757911819911211</v>
      </c>
      <c r="M90" s="69">
        <f>I90*(1-Annahmen!$B$7)</f>
        <v>4.6105336371048056</v>
      </c>
      <c r="N90" s="69">
        <f>Annahmen!$B$8</f>
        <v>78</v>
      </c>
      <c r="O90" s="72">
        <f>INDEX(Quelle_SMARD_Preise_2025!$C$11:$C$375, MATCH($A90,Quelle_SMARD_Preise_2025!$A$11:$A$375, 0))</f>
        <v>11.68</v>
      </c>
      <c r="P90" s="69">
        <f t="shared" si="15"/>
        <v>839.1171219530745</v>
      </c>
      <c r="Q90" s="69">
        <f t="shared" si="16"/>
        <v>53.851032881384128</v>
      </c>
      <c r="R90" s="73">
        <f>Annahmen!$B$9</f>
        <v>0.05</v>
      </c>
      <c r="S90" s="69">
        <f t="shared" si="17"/>
        <v>0.76842227285080078</v>
      </c>
      <c r="T90" s="69">
        <f t="shared" si="18"/>
        <v>0</v>
      </c>
      <c r="U90" s="74">
        <f>$O90+Annahmen!$B$10+(T90*Annahmen!$B$11)</f>
        <v>19.68</v>
      </c>
      <c r="V90" s="74">
        <f t="shared" si="11"/>
        <v>15.12255032970376</v>
      </c>
      <c r="W90" s="74">
        <f t="shared" si="19"/>
        <v>1089.8072042479198</v>
      </c>
    </row>
    <row r="91" spans="1:23" x14ac:dyDescent="0.35">
      <c r="A91" s="70">
        <v>45747</v>
      </c>
      <c r="B91" s="71" t="str">
        <f t="shared" si="12"/>
        <v>Mo</v>
      </c>
      <c r="C91" s="69">
        <f t="shared" si="13"/>
        <v>3</v>
      </c>
      <c r="D91" s="69">
        <v>90</v>
      </c>
      <c r="E91" s="69" t="str">
        <f>IF(OR(COUNTIF(Feiertage_Hessen_2025!$C$4:$C$13,A91)&gt;0,WEEKDAY(A91,2)=7),"FT",IF(WEEKDAY(A91,2)=6,"SA","WT"))</f>
        <v>WT</v>
      </c>
      <c r="F91" s="69">
        <f>INDEX('BDEW-H25 Tagessummen'!$C$4:$C$39, MATCH(C91&amp;"_"&amp;E91, 'BDEW-H25 Tagessummen'!$D$4:$D$39, 0))</f>
        <v>2398.8849999999993</v>
      </c>
      <c r="G91" s="69">
        <f t="shared" si="10"/>
        <v>1.0679408800000001</v>
      </c>
      <c r="H91" s="69">
        <f>Tabelle1[[#This Row],[Profilwert (kWh)]]*Tabelle1[[#This Row],[Dynamisierungsfaktor]]</f>
        <v>2561.8673579187994</v>
      </c>
      <c r="I91" s="69">
        <f>Annahmen!$B$5*(H91/SUM($H$2:$H$366))</f>
        <v>12.814877275544132</v>
      </c>
      <c r="J91" s="69">
        <f>Annahmen!$B$6</f>
        <v>130</v>
      </c>
      <c r="K91" s="69">
        <f t="shared" si="14"/>
        <v>1665.9340458207373</v>
      </c>
      <c r="L91" s="69">
        <f>I91*Annahmen!$B$7</f>
        <v>8.9704140928808922</v>
      </c>
      <c r="M91" s="69">
        <f>I91*(1-Annahmen!$B$7)</f>
        <v>3.8444631826632403</v>
      </c>
      <c r="N91" s="69">
        <f>Annahmen!$B$8</f>
        <v>78</v>
      </c>
      <c r="O91" s="72">
        <f>INDEX(Quelle_SMARD_Preise_2025!$C$11:$C$375, MATCH($A91,Quelle_SMARD_Preise_2025!$A$11:$A$375, 0))</f>
        <v>104.4</v>
      </c>
      <c r="P91" s="69">
        <f t="shared" si="15"/>
        <v>699.6922992447096</v>
      </c>
      <c r="Q91" s="69">
        <f t="shared" si="16"/>
        <v>401.3619562700423</v>
      </c>
      <c r="R91" s="73">
        <f>Annahmen!$B$9</f>
        <v>0.05</v>
      </c>
      <c r="S91" s="69">
        <f t="shared" si="17"/>
        <v>0.64074386377720671</v>
      </c>
      <c r="T91" s="69">
        <f t="shared" si="18"/>
        <v>0</v>
      </c>
      <c r="U91" s="74">
        <f>$O91+Annahmen!$B$10+(T91*Annahmen!$B$11)</f>
        <v>112.4</v>
      </c>
      <c r="V91" s="74">
        <f t="shared" si="11"/>
        <v>72.019610288558042</v>
      </c>
      <c r="W91" s="74">
        <f t="shared" si="19"/>
        <v>492.8601800174273</v>
      </c>
    </row>
    <row r="92" spans="1:23" x14ac:dyDescent="0.35">
      <c r="A92" s="70">
        <v>45748</v>
      </c>
      <c r="B92" s="71" t="str">
        <f t="shared" si="12"/>
        <v>Di</v>
      </c>
      <c r="C92" s="69">
        <f t="shared" si="13"/>
        <v>4</v>
      </c>
      <c r="D92" s="69">
        <v>91</v>
      </c>
      <c r="E92" s="69" t="str">
        <f>IF(OR(COUNTIF(Feiertage_Hessen_2025!$C$4:$C$13,A92)&gt;0,WEEKDAY(A92,2)=7),"FT",IF(WEEKDAY(A92,2)=6,"SA","WT"))</f>
        <v>WT</v>
      </c>
      <c r="F92" s="69">
        <f>INDEX('BDEW-H25 Tagessummen'!$C$4:$C$39, MATCH(C92&amp;"_"&amp;E92, 'BDEW-H25 Tagessummen'!$D$4:$D$39, 0))</f>
        <v>2554.9519999999998</v>
      </c>
      <c r="G92" s="69">
        <f t="shared" si="10"/>
        <v>1.064035135288</v>
      </c>
      <c r="H92" s="69">
        <f>Tabelle1[[#This Row],[Profilwert (kWh)]]*Tabelle1[[#This Row],[Dynamisierungsfaktor]]</f>
        <v>2718.5586969743458</v>
      </c>
      <c r="I92" s="69">
        <f>Annahmen!$B$5*(H92/SUM($H$2:$H$366))</f>
        <v>13.598672843230641</v>
      </c>
      <c r="J92" s="69">
        <f>Annahmen!$B$6</f>
        <v>130</v>
      </c>
      <c r="K92" s="69">
        <f t="shared" si="14"/>
        <v>1767.8274696199833</v>
      </c>
      <c r="L92" s="69">
        <f>I92*Annahmen!$B$7</f>
        <v>9.519070990261449</v>
      </c>
      <c r="M92" s="69">
        <f>I92*(1-Annahmen!$B$7)</f>
        <v>4.0796018529691933</v>
      </c>
      <c r="N92" s="69">
        <f>Annahmen!$B$8</f>
        <v>78</v>
      </c>
      <c r="O92" s="72">
        <f>INDEX(Quelle_SMARD_Preise_2025!$C$11:$C$375, MATCH($A92,Quelle_SMARD_Preise_2025!$A$11:$A$375, 0))</f>
        <v>94.22</v>
      </c>
      <c r="P92" s="69">
        <f t="shared" si="15"/>
        <v>742.48753724039307</v>
      </c>
      <c r="Q92" s="69">
        <f t="shared" si="16"/>
        <v>384.38008658675739</v>
      </c>
      <c r="R92" s="73">
        <f>Annahmen!$B$9</f>
        <v>0.05</v>
      </c>
      <c r="S92" s="69">
        <f t="shared" si="17"/>
        <v>0.67993364216153207</v>
      </c>
      <c r="T92" s="69">
        <f t="shared" si="18"/>
        <v>0</v>
      </c>
      <c r="U92" s="74">
        <f>$O92+Annahmen!$B$10+(T92*Annahmen!$B$11)</f>
        <v>102.22</v>
      </c>
      <c r="V92" s="74">
        <f t="shared" si="11"/>
        <v>69.502816901751814</v>
      </c>
      <c r="W92" s="74">
        <f t="shared" si="19"/>
        <v>571.45702889108099</v>
      </c>
    </row>
    <row r="93" spans="1:23" x14ac:dyDescent="0.35">
      <c r="A93" s="70">
        <v>45749</v>
      </c>
      <c r="B93" s="71" t="str">
        <f t="shared" si="12"/>
        <v>Mi</v>
      </c>
      <c r="C93" s="69">
        <f t="shared" si="13"/>
        <v>4</v>
      </c>
      <c r="D93" s="69">
        <v>92</v>
      </c>
      <c r="E93" s="69" t="str">
        <f>IF(OR(COUNTIF(Feiertage_Hessen_2025!$C$4:$C$13,A93)&gt;0,WEEKDAY(A93,2)=7),"FT",IF(WEEKDAY(A93,2)=6,"SA","WT"))</f>
        <v>WT</v>
      </c>
      <c r="F93" s="69">
        <f>INDEX('BDEW-H25 Tagessummen'!$C$4:$C$39, MATCH(C93&amp;"_"&amp;E93, 'BDEW-H25 Tagessummen'!$D$4:$D$39, 0))</f>
        <v>2554.9519999999998</v>
      </c>
      <c r="G93" s="69">
        <f t="shared" si="10"/>
        <v>1.060124755968</v>
      </c>
      <c r="H93" s="69">
        <f>Tabelle1[[#This Row],[Profilwert (kWh)]]*Tabelle1[[#This Row],[Dynamisierungsfaktor]]</f>
        <v>2708.5678655099532</v>
      </c>
      <c r="I93" s="69">
        <f>Annahmen!$B$5*(H93/SUM($H$2:$H$366))</f>
        <v>13.548697078989338</v>
      </c>
      <c r="J93" s="69">
        <f>Annahmen!$B$6</f>
        <v>130</v>
      </c>
      <c r="K93" s="69">
        <f t="shared" si="14"/>
        <v>1761.330620268614</v>
      </c>
      <c r="L93" s="69">
        <f>I93*Annahmen!$B$7</f>
        <v>9.4840879552925355</v>
      </c>
      <c r="M93" s="69">
        <f>I93*(1-Annahmen!$B$7)</f>
        <v>4.0646091236968021</v>
      </c>
      <c r="N93" s="69">
        <f>Annahmen!$B$8</f>
        <v>78</v>
      </c>
      <c r="O93" s="72">
        <f>INDEX(Quelle_SMARD_Preise_2025!$C$11:$C$375, MATCH($A93,Quelle_SMARD_Preise_2025!$A$11:$A$375, 0))</f>
        <v>61.62</v>
      </c>
      <c r="P93" s="69">
        <f t="shared" si="15"/>
        <v>739.75886051281782</v>
      </c>
      <c r="Q93" s="69">
        <f t="shared" si="16"/>
        <v>250.46121420219694</v>
      </c>
      <c r="R93" s="73">
        <f>Annahmen!$B$9</f>
        <v>0.05</v>
      </c>
      <c r="S93" s="69">
        <f t="shared" si="17"/>
        <v>0.67743485394946701</v>
      </c>
      <c r="T93" s="69">
        <f t="shared" si="18"/>
        <v>0</v>
      </c>
      <c r="U93" s="74">
        <f>$O93+Annahmen!$B$10+(T93*Annahmen!$B$11)</f>
        <v>69.62</v>
      </c>
      <c r="V93" s="74">
        <f t="shared" si="11"/>
        <v>47.163014531961899</v>
      </c>
      <c r="W93" s="74">
        <f t="shared" si="19"/>
        <v>723.94753102163725</v>
      </c>
    </row>
    <row r="94" spans="1:23" x14ac:dyDescent="0.35">
      <c r="A94" s="70">
        <v>45750</v>
      </c>
      <c r="B94" s="71" t="str">
        <f t="shared" si="12"/>
        <v>Do</v>
      </c>
      <c r="C94" s="69">
        <f t="shared" si="13"/>
        <v>4</v>
      </c>
      <c r="D94" s="69">
        <v>93</v>
      </c>
      <c r="E94" s="69" t="str">
        <f>IF(OR(COUNTIF(Feiertage_Hessen_2025!$C$4:$C$13,A94)&gt;0,WEEKDAY(A94,2)=7),"FT",IF(WEEKDAY(A94,2)=6,"SA","WT"))</f>
        <v>WT</v>
      </c>
      <c r="F94" s="69">
        <f>INDEX('BDEW-H25 Tagessummen'!$C$4:$C$39, MATCH(C94&amp;"_"&amp;E94, 'BDEW-H25 Tagessummen'!$D$4:$D$39, 0))</f>
        <v>2554.9519999999998</v>
      </c>
      <c r="G94" s="69">
        <f t="shared" si="10"/>
        <v>1.056210801208</v>
      </c>
      <c r="H94" s="69">
        <f>Tabelle1[[#This Row],[Profilwert (kWh)]]*Tabelle1[[#This Row],[Dynamisierungsfaktor]]</f>
        <v>2698.5678989679818</v>
      </c>
      <c r="I94" s="69">
        <f>Annahmen!$B$5*(H94/SUM($H$2:$H$366))</f>
        <v>13.49867561960394</v>
      </c>
      <c r="J94" s="69">
        <f>Annahmen!$B$6</f>
        <v>130</v>
      </c>
      <c r="K94" s="69">
        <f t="shared" si="14"/>
        <v>1754.8278305485121</v>
      </c>
      <c r="L94" s="69">
        <f>I94*Annahmen!$B$7</f>
        <v>9.449072933722757</v>
      </c>
      <c r="M94" s="69">
        <f>I94*(1-Annahmen!$B$7)</f>
        <v>4.0496026858811822</v>
      </c>
      <c r="N94" s="69">
        <f>Annahmen!$B$8</f>
        <v>78</v>
      </c>
      <c r="O94" s="72">
        <f>INDEX(Quelle_SMARD_Preise_2025!$C$11:$C$375, MATCH($A94,Quelle_SMARD_Preise_2025!$A$11:$A$375, 0))</f>
        <v>77.5</v>
      </c>
      <c r="P94" s="69">
        <f t="shared" si="15"/>
        <v>737.02768883037504</v>
      </c>
      <c r="Q94" s="69">
        <f t="shared" si="16"/>
        <v>313.84420815579165</v>
      </c>
      <c r="R94" s="73">
        <f>Annahmen!$B$9</f>
        <v>0.05</v>
      </c>
      <c r="S94" s="69">
        <f t="shared" si="17"/>
        <v>0.67493378098019707</v>
      </c>
      <c r="T94" s="69">
        <f t="shared" si="18"/>
        <v>0</v>
      </c>
      <c r="U94" s="74">
        <f>$O94+Annahmen!$B$10+(T94*Annahmen!$B$11)</f>
        <v>85.5</v>
      </c>
      <c r="V94" s="74">
        <f t="shared" si="11"/>
        <v>57.706838273806852</v>
      </c>
      <c r="W94" s="74">
        <f t="shared" si="19"/>
        <v>646.24909528853857</v>
      </c>
    </row>
    <row r="95" spans="1:23" x14ac:dyDescent="0.35">
      <c r="A95" s="70">
        <v>45751</v>
      </c>
      <c r="B95" s="71" t="str">
        <f t="shared" si="12"/>
        <v>Fr</v>
      </c>
      <c r="C95" s="69">
        <f t="shared" si="13"/>
        <v>4</v>
      </c>
      <c r="D95" s="69">
        <v>94</v>
      </c>
      <c r="E95" s="69" t="str">
        <f>IF(OR(COUNTIF(Feiertage_Hessen_2025!$C$4:$C$13,A95)&gt;0,WEEKDAY(A95,2)=7),"FT",IF(WEEKDAY(A95,2)=6,"SA","WT"))</f>
        <v>WT</v>
      </c>
      <c r="F95" s="69">
        <f>INDEX('BDEW-H25 Tagessummen'!$C$4:$C$39, MATCH(C95&amp;"_"&amp;E95, 'BDEW-H25 Tagessummen'!$D$4:$D$39, 0))</f>
        <v>2554.9519999999998</v>
      </c>
      <c r="G95" s="69">
        <f t="shared" si="10"/>
        <v>1.052294320768</v>
      </c>
      <c r="H95" s="69">
        <f>Tabelle1[[#This Row],[Profilwert (kWh)]]*Tabelle1[[#This Row],[Dynamisierungsfaktor]]</f>
        <v>2688.561479434843</v>
      </c>
      <c r="I95" s="69">
        <f>Annahmen!$B$5*(H95/SUM($H$2:$H$366))</f>
        <v>13.448621881306986</v>
      </c>
      <c r="J95" s="69">
        <f>Annahmen!$B$6</f>
        <v>130</v>
      </c>
      <c r="K95" s="69">
        <f t="shared" si="14"/>
        <v>1748.3208445699081</v>
      </c>
      <c r="L95" s="69">
        <f>I95*Annahmen!$B$7</f>
        <v>9.4140353169148892</v>
      </c>
      <c r="M95" s="69">
        <f>I95*(1-Annahmen!$B$7)</f>
        <v>4.0345865643920966</v>
      </c>
      <c r="N95" s="69">
        <f>Annahmen!$B$8</f>
        <v>78</v>
      </c>
      <c r="O95" s="72">
        <f>INDEX(Quelle_SMARD_Preise_2025!$C$11:$C$375, MATCH($A95,Quelle_SMARD_Preise_2025!$A$11:$A$375, 0))</f>
        <v>89.91</v>
      </c>
      <c r="P95" s="69">
        <f t="shared" si="15"/>
        <v>734.29475471936132</v>
      </c>
      <c r="Q95" s="69">
        <f t="shared" si="16"/>
        <v>362.74967800449338</v>
      </c>
      <c r="R95" s="73">
        <f>Annahmen!$B$9</f>
        <v>0.05</v>
      </c>
      <c r="S95" s="69">
        <f t="shared" si="17"/>
        <v>0.67243109406534929</v>
      </c>
      <c r="T95" s="69">
        <f t="shared" si="18"/>
        <v>0</v>
      </c>
      <c r="U95" s="74">
        <f>$O95+Annahmen!$B$10+(T95*Annahmen!$B$11)</f>
        <v>97.91</v>
      </c>
      <c r="V95" s="74">
        <f t="shared" si="11"/>
        <v>65.837728419938344</v>
      </c>
      <c r="W95" s="74">
        <f t="shared" si="19"/>
        <v>585.43868342611506</v>
      </c>
    </row>
    <row r="96" spans="1:23" x14ac:dyDescent="0.35">
      <c r="A96" s="70">
        <v>45752</v>
      </c>
      <c r="B96" s="71" t="str">
        <f t="shared" si="12"/>
        <v>Sa</v>
      </c>
      <c r="C96" s="69">
        <f t="shared" si="13"/>
        <v>4</v>
      </c>
      <c r="D96" s="69">
        <v>95</v>
      </c>
      <c r="E96" s="69" t="str">
        <f>IF(OR(COUNTIF(Feiertage_Hessen_2025!$C$4:$C$13,A96)&gt;0,WEEKDAY(A96,2)=7),"FT",IF(WEEKDAY(A96,2)=6,"SA","WT"))</f>
        <v>SA</v>
      </c>
      <c r="F96" s="69">
        <f>INDEX('BDEW-H25 Tagessummen'!$C$4:$C$39, MATCH(C96&amp;"_"&amp;E96, 'BDEW-H25 Tagessummen'!$D$4:$D$39, 0))</f>
        <v>2961.768</v>
      </c>
      <c r="G96" s="69">
        <f t="shared" si="10"/>
        <v>1.048376355</v>
      </c>
      <c r="H96" s="69">
        <f>Tabelle1[[#This Row],[Profilwert (kWh)]]*Tabelle1[[#This Row],[Dynamisierungsfaktor]]</f>
        <v>3105.0475401956401</v>
      </c>
      <c r="I96" s="69">
        <f>Annahmen!$B$5*(H96/SUM($H$2:$H$366))</f>
        <v>15.531952909014938</v>
      </c>
      <c r="J96" s="69">
        <f>Annahmen!$B$6</f>
        <v>130</v>
      </c>
      <c r="K96" s="69">
        <f t="shared" si="14"/>
        <v>2019.1538781719421</v>
      </c>
      <c r="L96" s="69">
        <f>I96*Annahmen!$B$7</f>
        <v>10.872367036310456</v>
      </c>
      <c r="M96" s="69">
        <f>I96*(1-Annahmen!$B$7)</f>
        <v>4.6595858727044819</v>
      </c>
      <c r="N96" s="69">
        <f>Annahmen!$B$8</f>
        <v>78</v>
      </c>
      <c r="O96" s="72">
        <f>INDEX(Quelle_SMARD_Preise_2025!$C$11:$C$375, MATCH($A96,Quelle_SMARD_Preise_2025!$A$11:$A$375, 0))</f>
        <v>54.83</v>
      </c>
      <c r="P96" s="69">
        <f t="shared" si="15"/>
        <v>848.04462883221549</v>
      </c>
      <c r="Q96" s="69">
        <f t="shared" si="16"/>
        <v>255.48509340038675</v>
      </c>
      <c r="R96" s="73">
        <f>Annahmen!$B$9</f>
        <v>0.05</v>
      </c>
      <c r="S96" s="69">
        <f t="shared" si="17"/>
        <v>0.77659764545074694</v>
      </c>
      <c r="T96" s="69">
        <f t="shared" si="18"/>
        <v>0</v>
      </c>
      <c r="U96" s="74">
        <f>$O96+Annahmen!$B$10+(T96*Annahmen!$B$11)</f>
        <v>62.83</v>
      </c>
      <c r="V96" s="74">
        <f t="shared" si="11"/>
        <v>48.793630063670427</v>
      </c>
      <c r="W96" s="74">
        <f t="shared" si="19"/>
        <v>866.83052587566942</v>
      </c>
    </row>
    <row r="97" spans="1:23" x14ac:dyDescent="0.35">
      <c r="A97" s="70">
        <v>45753</v>
      </c>
      <c r="B97" s="71" t="str">
        <f t="shared" si="12"/>
        <v>So</v>
      </c>
      <c r="C97" s="69">
        <f t="shared" si="13"/>
        <v>4</v>
      </c>
      <c r="D97" s="69">
        <v>96</v>
      </c>
      <c r="E97" s="69" t="str">
        <f>IF(OR(COUNTIF(Feiertage_Hessen_2025!$C$4:$C$13,A97)&gt;0,WEEKDAY(A97,2)=7),"FT",IF(WEEKDAY(A97,2)=6,"SA","WT"))</f>
        <v>FT</v>
      </c>
      <c r="F97" s="69">
        <f>INDEX('BDEW-H25 Tagessummen'!$C$4:$C$39, MATCH(C97&amp;"_"&amp;E97, 'BDEW-H25 Tagessummen'!$D$4:$D$39, 0))</f>
        <v>3047.3090000000016</v>
      </c>
      <c r="G97" s="69">
        <f t="shared" si="10"/>
        <v>1.0444579348480001</v>
      </c>
      <c r="H97" s="69">
        <f>Tabelle1[[#This Row],[Profilwert (kWh)]]*Tabelle1[[#This Row],[Dynamisierungsfaktor]]</f>
        <v>3182.7860649837257</v>
      </c>
      <c r="I97" s="69">
        <f>Annahmen!$B$5*(H97/SUM($H$2:$H$366))</f>
        <v>15.920813656103132</v>
      </c>
      <c r="J97" s="69">
        <f>Annahmen!$B$6</f>
        <v>130</v>
      </c>
      <c r="K97" s="69">
        <f t="shared" si="14"/>
        <v>2069.705775293407</v>
      </c>
      <c r="L97" s="69">
        <f>I97*Annahmen!$B$7</f>
        <v>11.144569559272192</v>
      </c>
      <c r="M97" s="69">
        <f>I97*(1-Annahmen!$B$7)</f>
        <v>4.7762440968309399</v>
      </c>
      <c r="N97" s="69">
        <f>Annahmen!$B$8</f>
        <v>78</v>
      </c>
      <c r="O97" s="72">
        <f>INDEX(Quelle_SMARD_Preise_2025!$C$11:$C$375, MATCH($A97,Quelle_SMARD_Preise_2025!$A$11:$A$375, 0))</f>
        <v>38.29</v>
      </c>
      <c r="P97" s="69">
        <f t="shared" si="15"/>
        <v>869.27642562323092</v>
      </c>
      <c r="Q97" s="69">
        <f t="shared" si="16"/>
        <v>182.88238646765669</v>
      </c>
      <c r="R97" s="73">
        <f>Annahmen!$B$9</f>
        <v>0.05</v>
      </c>
      <c r="S97" s="69">
        <f t="shared" si="17"/>
        <v>0.79604068280515661</v>
      </c>
      <c r="T97" s="69">
        <f t="shared" si="18"/>
        <v>0</v>
      </c>
      <c r="U97" s="74">
        <f>$O97+Annahmen!$B$10+(T97*Annahmen!$B$11)</f>
        <v>46.29</v>
      </c>
      <c r="V97" s="74">
        <f t="shared" si="11"/>
        <v>36.848723207050696</v>
      </c>
      <c r="W97" s="74">
        <f t="shared" si="19"/>
        <v>980.69823999546873</v>
      </c>
    </row>
    <row r="98" spans="1:23" x14ac:dyDescent="0.35">
      <c r="A98" s="70">
        <v>45754</v>
      </c>
      <c r="B98" s="71" t="str">
        <f t="shared" si="12"/>
        <v>Mo</v>
      </c>
      <c r="C98" s="69">
        <f t="shared" si="13"/>
        <v>4</v>
      </c>
      <c r="D98" s="69">
        <v>97</v>
      </c>
      <c r="E98" s="69" t="str">
        <f>IF(OR(COUNTIF(Feiertage_Hessen_2025!$C$4:$C$13,A98)&gt;0,WEEKDAY(A98,2)=7),"FT",IF(WEEKDAY(A98,2)=6,"SA","WT"))</f>
        <v>WT</v>
      </c>
      <c r="F98" s="69">
        <f>INDEX('BDEW-H25 Tagessummen'!$C$4:$C$39, MATCH(C98&amp;"_"&amp;E98, 'BDEW-H25 Tagessummen'!$D$4:$D$39, 0))</f>
        <v>2554.9519999999998</v>
      </c>
      <c r="G98" s="69">
        <f t="shared" si="10"/>
        <v>1.040540081848</v>
      </c>
      <c r="H98" s="69">
        <f>Tabelle1[[#This Row],[Profilwert (kWh)]]*Tabelle1[[#This Row],[Dynamisierungsfaktor]]</f>
        <v>2658.5299631977109</v>
      </c>
      <c r="I98" s="69">
        <f>Annahmen!$B$5*(H98/SUM($H$2:$H$366))</f>
        <v>13.298399351718256</v>
      </c>
      <c r="J98" s="69">
        <f>Annahmen!$B$6</f>
        <v>130</v>
      </c>
      <c r="K98" s="69">
        <f t="shared" si="14"/>
        <v>1728.7919157233732</v>
      </c>
      <c r="L98" s="69">
        <f>I98*Annahmen!$B$7</f>
        <v>9.3088795462027782</v>
      </c>
      <c r="M98" s="69">
        <f>I98*(1-Annahmen!$B$7)</f>
        <v>3.9895198055154775</v>
      </c>
      <c r="N98" s="69">
        <f>Annahmen!$B$8</f>
        <v>78</v>
      </c>
      <c r="O98" s="72">
        <f>INDEX(Quelle_SMARD_Preise_2025!$C$11:$C$375, MATCH($A98,Quelle_SMARD_Preise_2025!$A$11:$A$375, 0))</f>
        <v>96.13</v>
      </c>
      <c r="P98" s="69">
        <f t="shared" si="15"/>
        <v>726.09260460381665</v>
      </c>
      <c r="Q98" s="69">
        <f t="shared" si="16"/>
        <v>383.51253890420281</v>
      </c>
      <c r="R98" s="73">
        <f>Annahmen!$B$9</f>
        <v>0.05</v>
      </c>
      <c r="S98" s="69">
        <f t="shared" si="17"/>
        <v>0.66491996758591287</v>
      </c>
      <c r="T98" s="69">
        <f t="shared" si="18"/>
        <v>0</v>
      </c>
      <c r="U98" s="74">
        <f>$O98+Annahmen!$B$10+(T98*Annahmen!$B$11)</f>
        <v>104.13</v>
      </c>
      <c r="V98" s="74">
        <f t="shared" si="11"/>
        <v>69.238116224721111</v>
      </c>
      <c r="W98" s="74">
        <f t="shared" si="19"/>
        <v>549.94865599063269</v>
      </c>
    </row>
    <row r="99" spans="1:23" x14ac:dyDescent="0.35">
      <c r="A99" s="70">
        <v>45755</v>
      </c>
      <c r="B99" s="71" t="str">
        <f t="shared" si="12"/>
        <v>Di</v>
      </c>
      <c r="C99" s="69">
        <f t="shared" si="13"/>
        <v>4</v>
      </c>
      <c r="D99" s="69">
        <v>98</v>
      </c>
      <c r="E99" s="69" t="str">
        <f>IF(OR(COUNTIF(Feiertage_Hessen_2025!$C$4:$C$13,A99)&gt;0,WEEKDAY(A99,2)=7),"FT",IF(WEEKDAY(A99,2)=6,"SA","WT"))</f>
        <v>WT</v>
      </c>
      <c r="F99" s="69">
        <f>INDEX('BDEW-H25 Tagessummen'!$C$4:$C$39, MATCH(C99&amp;"_"&amp;E99, 'BDEW-H25 Tagessummen'!$D$4:$D$39, 0))</f>
        <v>2554.9519999999998</v>
      </c>
      <c r="G99" s="69">
        <f t="shared" si="10"/>
        <v>1.0366238081280001</v>
      </c>
      <c r="H99" s="69">
        <f>Tabelle1[[#This Row],[Profilwert (kWh)]]*Tabelle1[[#This Row],[Dynamisierungsfaktor]]</f>
        <v>2648.5240718242499</v>
      </c>
      <c r="I99" s="69">
        <f>Annahmen!$B$5*(H99/SUM($H$2:$H$366))</f>
        <v>13.248348255361925</v>
      </c>
      <c r="J99" s="69">
        <f>Annahmen!$B$6</f>
        <v>130</v>
      </c>
      <c r="K99" s="69">
        <f t="shared" si="14"/>
        <v>1722.2852731970504</v>
      </c>
      <c r="L99" s="69">
        <f>I99*Annahmen!$B$7</f>
        <v>9.2738437787533474</v>
      </c>
      <c r="M99" s="69">
        <f>I99*(1-Annahmen!$B$7)</f>
        <v>3.9745044766085784</v>
      </c>
      <c r="N99" s="69">
        <f>Annahmen!$B$8</f>
        <v>78</v>
      </c>
      <c r="O99" s="72">
        <f>INDEX(Quelle_SMARD_Preise_2025!$C$11:$C$375, MATCH($A99,Quelle_SMARD_Preise_2025!$A$11:$A$375, 0))</f>
        <v>98.75</v>
      </c>
      <c r="P99" s="69">
        <f t="shared" si="15"/>
        <v>723.35981474276105</v>
      </c>
      <c r="Q99" s="69">
        <f t="shared" si="16"/>
        <v>392.48231706509711</v>
      </c>
      <c r="R99" s="73">
        <f>Annahmen!$B$9</f>
        <v>0.05</v>
      </c>
      <c r="S99" s="69">
        <f t="shared" si="17"/>
        <v>0.66241741276809629</v>
      </c>
      <c r="T99" s="69">
        <f t="shared" si="18"/>
        <v>0</v>
      </c>
      <c r="U99" s="74">
        <f>$O99+Annahmen!$B$10+(T99*Annahmen!$B$11)</f>
        <v>106.75</v>
      </c>
      <c r="V99" s="74">
        <f t="shared" si="11"/>
        <v>70.713058812994277</v>
      </c>
      <c r="W99" s="74">
        <f t="shared" si="19"/>
        <v>535.73008257619801</v>
      </c>
    </row>
    <row r="100" spans="1:23" x14ac:dyDescent="0.35">
      <c r="A100" s="70">
        <v>45756</v>
      </c>
      <c r="B100" s="71" t="str">
        <f t="shared" si="12"/>
        <v>Mi</v>
      </c>
      <c r="C100" s="69">
        <f t="shared" si="13"/>
        <v>4</v>
      </c>
      <c r="D100" s="69">
        <v>99</v>
      </c>
      <c r="E100" s="69" t="str">
        <f>IF(OR(COUNTIF(Feiertage_Hessen_2025!$C$4:$C$13,A100)&gt;0,WEEKDAY(A100,2)=7),"FT",IF(WEEKDAY(A100,2)=6,"SA","WT"))</f>
        <v>WT</v>
      </c>
      <c r="F100" s="69">
        <f>INDEX('BDEW-H25 Tagessummen'!$C$4:$C$39, MATCH(C100&amp;"_"&amp;E100, 'BDEW-H25 Tagessummen'!$D$4:$D$39, 0))</f>
        <v>2554.9519999999998</v>
      </c>
      <c r="G100" s="69">
        <f t="shared" si="10"/>
        <v>1.0327101164079999</v>
      </c>
      <c r="H100" s="69">
        <f>Tabelle1[[#This Row],[Profilwert (kWh)]]*Tabelle1[[#This Row],[Dynamisierungsfaktor]]</f>
        <v>2638.5247773368519</v>
      </c>
      <c r="I100" s="69">
        <f>Annahmen!$B$5*(H100/SUM($H$2:$H$366))</f>
        <v>13.198330157702831</v>
      </c>
      <c r="J100" s="69">
        <f>Annahmen!$B$6</f>
        <v>130</v>
      </c>
      <c r="K100" s="69">
        <f t="shared" si="14"/>
        <v>1715.7829205013679</v>
      </c>
      <c r="L100" s="69">
        <f>I100*Annahmen!$B$7</f>
        <v>9.2388311103919811</v>
      </c>
      <c r="M100" s="69">
        <f>I100*(1-Annahmen!$B$7)</f>
        <v>3.95949904731085</v>
      </c>
      <c r="N100" s="69">
        <f>Annahmen!$B$8</f>
        <v>78</v>
      </c>
      <c r="O100" s="72">
        <f>INDEX(Quelle_SMARD_Preise_2025!$C$11:$C$375, MATCH($A100,Quelle_SMARD_Preise_2025!$A$11:$A$375, 0))</f>
        <v>91.56</v>
      </c>
      <c r="P100" s="69">
        <f t="shared" si="15"/>
        <v>720.62882661057449</v>
      </c>
      <c r="Q100" s="69">
        <f t="shared" si="16"/>
        <v>362.53173277178144</v>
      </c>
      <c r="R100" s="73">
        <f>Annahmen!$B$9</f>
        <v>0.05</v>
      </c>
      <c r="S100" s="69">
        <f t="shared" si="17"/>
        <v>0.65991650788514156</v>
      </c>
      <c r="T100" s="69">
        <f t="shared" si="18"/>
        <v>0</v>
      </c>
      <c r="U100" s="74">
        <f>$O100+Annahmen!$B$10+(T100*Annahmen!$B$11)</f>
        <v>99.56</v>
      </c>
      <c r="V100" s="74">
        <f t="shared" si="11"/>
        <v>65.701287525044691</v>
      </c>
      <c r="W100" s="74">
        <f t="shared" si="19"/>
        <v>566.92107359396732</v>
      </c>
    </row>
    <row r="101" spans="1:23" x14ac:dyDescent="0.35">
      <c r="A101" s="70">
        <v>45757</v>
      </c>
      <c r="B101" s="71" t="str">
        <f t="shared" si="12"/>
        <v>Do</v>
      </c>
      <c r="C101" s="69">
        <f t="shared" si="13"/>
        <v>4</v>
      </c>
      <c r="D101" s="69">
        <v>100</v>
      </c>
      <c r="E101" s="69" t="str">
        <f>IF(OR(COUNTIF(Feiertage_Hessen_2025!$C$4:$C$13,A101)&gt;0,WEEKDAY(A101,2)=7),"FT",IF(WEEKDAY(A101,2)=6,"SA","WT"))</f>
        <v>WT</v>
      </c>
      <c r="F101" s="69">
        <f>INDEX('BDEW-H25 Tagessummen'!$C$4:$C$39, MATCH(C101&amp;"_"&amp;E101, 'BDEW-H25 Tagessummen'!$D$4:$D$39, 0))</f>
        <v>2554.9519999999998</v>
      </c>
      <c r="G101" s="69">
        <f t="shared" si="10"/>
        <v>1.0287999999999999</v>
      </c>
      <c r="H101" s="69">
        <f>Tabelle1[[#This Row],[Profilwert (kWh)]]*Tabelle1[[#This Row],[Dynamisierungsfaktor]]</f>
        <v>2628.5346175999998</v>
      </c>
      <c r="I101" s="69">
        <f>Annahmen!$B$5*(H101/SUM($H$2:$H$366))</f>
        <v>13.148357753551959</v>
      </c>
      <c r="J101" s="69">
        <f>Annahmen!$B$6</f>
        <v>130</v>
      </c>
      <c r="K101" s="69">
        <f t="shared" si="14"/>
        <v>1709.2865079617548</v>
      </c>
      <c r="L101" s="69">
        <f>I101*Annahmen!$B$7</f>
        <v>9.2038504274863708</v>
      </c>
      <c r="M101" s="69">
        <f>I101*(1-Annahmen!$B$7)</f>
        <v>3.9445073260655885</v>
      </c>
      <c r="N101" s="69">
        <f>Annahmen!$B$8</f>
        <v>78</v>
      </c>
      <c r="O101" s="72">
        <f>INDEX(Quelle_SMARD_Preise_2025!$C$11:$C$375, MATCH($A101,Quelle_SMARD_Preise_2025!$A$11:$A$375, 0))</f>
        <v>85.52</v>
      </c>
      <c r="P101" s="69">
        <f t="shared" si="15"/>
        <v>717.90033334393695</v>
      </c>
      <c r="Q101" s="69">
        <f t="shared" si="16"/>
        <v>337.33426652512912</v>
      </c>
      <c r="R101" s="73">
        <f>Annahmen!$B$9</f>
        <v>0.05</v>
      </c>
      <c r="S101" s="69">
        <f t="shared" si="17"/>
        <v>0.65741788767759801</v>
      </c>
      <c r="T101" s="69">
        <f t="shared" si="18"/>
        <v>0</v>
      </c>
      <c r="U101" s="74">
        <f>$O101+Annahmen!$B$10+(T101*Annahmen!$B$11)</f>
        <v>93.52</v>
      </c>
      <c r="V101" s="74">
        <f t="shared" si="11"/>
        <v>61.481720855608962</v>
      </c>
      <c r="W101" s="74">
        <f t="shared" si="19"/>
        <v>592.57018723707972</v>
      </c>
    </row>
    <row r="102" spans="1:23" x14ac:dyDescent="0.35">
      <c r="A102" s="70">
        <v>45758</v>
      </c>
      <c r="B102" s="71" t="str">
        <f t="shared" si="12"/>
        <v>Fr</v>
      </c>
      <c r="C102" s="69">
        <f t="shared" si="13"/>
        <v>4</v>
      </c>
      <c r="D102" s="69">
        <v>101</v>
      </c>
      <c r="E102" s="69" t="str">
        <f>IF(OR(COUNTIF(Feiertage_Hessen_2025!$C$4:$C$13,A102)&gt;0,WEEKDAY(A102,2)=7),"FT",IF(WEEKDAY(A102,2)=6,"SA","WT"))</f>
        <v>WT</v>
      </c>
      <c r="F102" s="69">
        <f>INDEX('BDEW-H25 Tagessummen'!$C$4:$C$39, MATCH(C102&amp;"_"&amp;E102, 'BDEW-H25 Tagessummen'!$D$4:$D$39, 0))</f>
        <v>2554.9519999999998</v>
      </c>
      <c r="G102" s="69">
        <f t="shared" si="10"/>
        <v>1.024894442808</v>
      </c>
      <c r="H102" s="69">
        <f>Tabelle1[[#This Row],[Profilwert (kWh)]]*Tabelle1[[#This Row],[Dynamisierungsfaktor]]</f>
        <v>2618.556106441185</v>
      </c>
      <c r="I102" s="69">
        <f>Annahmen!$B$5*(H102/SUM($H$2:$H$366))</f>
        <v>13.09844361748336</v>
      </c>
      <c r="J102" s="69">
        <f>Annahmen!$B$6</f>
        <v>130</v>
      </c>
      <c r="K102" s="69">
        <f t="shared" si="14"/>
        <v>1702.7976702728367</v>
      </c>
      <c r="L102" s="69">
        <f>I102*Annahmen!$B$7</f>
        <v>9.1689105322383515</v>
      </c>
      <c r="M102" s="69">
        <f>I102*(1-Annahmen!$B$7)</f>
        <v>3.9295330852450086</v>
      </c>
      <c r="N102" s="69">
        <f>Annahmen!$B$8</f>
        <v>78</v>
      </c>
      <c r="O102" s="72">
        <f>INDEX(Quelle_SMARD_Preise_2025!$C$11:$C$375, MATCH($A102,Quelle_SMARD_Preise_2025!$A$11:$A$375, 0))</f>
        <v>64.63</v>
      </c>
      <c r="P102" s="69">
        <f t="shared" si="15"/>
        <v>715.17502151459144</v>
      </c>
      <c r="Q102" s="69">
        <f t="shared" si="16"/>
        <v>253.96572329938488</v>
      </c>
      <c r="R102" s="73">
        <f>Annahmen!$B$9</f>
        <v>0.05</v>
      </c>
      <c r="S102" s="69">
        <f t="shared" si="17"/>
        <v>0.65492218087416809</v>
      </c>
      <c r="T102" s="69">
        <f t="shared" si="18"/>
        <v>0</v>
      </c>
      <c r="U102" s="74">
        <f>$O102+Annahmen!$B$10+(T102*Annahmen!$B$11)</f>
        <v>72.63</v>
      </c>
      <c r="V102" s="74">
        <f t="shared" si="11"/>
        <v>47.566997996890827</v>
      </c>
      <c r="W102" s="74">
        <f t="shared" si="19"/>
        <v>686.08992746196964</v>
      </c>
    </row>
    <row r="103" spans="1:23" x14ac:dyDescent="0.35">
      <c r="A103" s="70">
        <v>45759</v>
      </c>
      <c r="B103" s="71" t="str">
        <f t="shared" si="12"/>
        <v>Sa</v>
      </c>
      <c r="C103" s="69">
        <f t="shared" si="13"/>
        <v>4</v>
      </c>
      <c r="D103" s="69">
        <v>102</v>
      </c>
      <c r="E103" s="69" t="str">
        <f>IF(OR(COUNTIF(Feiertage_Hessen_2025!$C$4:$C$13,A103)&gt;0,WEEKDAY(A103,2)=7),"FT",IF(WEEKDAY(A103,2)=6,"SA","WT"))</f>
        <v>SA</v>
      </c>
      <c r="F103" s="69">
        <f>INDEX('BDEW-H25 Tagessummen'!$C$4:$C$39, MATCH(C103&amp;"_"&amp;E103, 'BDEW-H25 Tagessummen'!$D$4:$D$39, 0))</f>
        <v>2961.768</v>
      </c>
      <c r="G103" s="69">
        <f t="shared" si="10"/>
        <v>1.0209944193280001</v>
      </c>
      <c r="H103" s="69">
        <f>Tabelle1[[#This Row],[Profilwert (kWh)]]*Tabelle1[[#This Row],[Dynamisierungsfaktor]]</f>
        <v>3023.9485993442522</v>
      </c>
      <c r="I103" s="69">
        <f>Annahmen!$B$5*(H103/SUM($H$2:$H$366))</f>
        <v>15.12628281412313</v>
      </c>
      <c r="J103" s="69">
        <f>Annahmen!$B$6</f>
        <v>130</v>
      </c>
      <c r="K103" s="69">
        <f t="shared" si="14"/>
        <v>1966.4167658360068</v>
      </c>
      <c r="L103" s="69">
        <f>I103*Annahmen!$B$7</f>
        <v>10.58839796988619</v>
      </c>
      <c r="M103" s="69">
        <f>I103*(1-Annahmen!$B$7)</f>
        <v>4.5378848442369399</v>
      </c>
      <c r="N103" s="69">
        <f>Annahmen!$B$8</f>
        <v>78</v>
      </c>
      <c r="O103" s="72">
        <f>INDEX(Quelle_SMARD_Preise_2025!$C$11:$C$375, MATCH($A103,Quelle_SMARD_Preise_2025!$A$11:$A$375, 0))</f>
        <v>65.41</v>
      </c>
      <c r="P103" s="69">
        <f t="shared" si="15"/>
        <v>825.89504165112282</v>
      </c>
      <c r="Q103" s="69">
        <f t="shared" si="16"/>
        <v>296.82304766153823</v>
      </c>
      <c r="R103" s="73">
        <f>Annahmen!$B$9</f>
        <v>0.05</v>
      </c>
      <c r="S103" s="69">
        <f t="shared" si="17"/>
        <v>0.75631414070615655</v>
      </c>
      <c r="T103" s="69">
        <f t="shared" si="18"/>
        <v>0</v>
      </c>
      <c r="U103" s="74">
        <f>$O103+Annahmen!$B$10+(T103*Annahmen!$B$11)</f>
        <v>73.41</v>
      </c>
      <c r="V103" s="74">
        <f t="shared" si="11"/>
        <v>55.521021069238948</v>
      </c>
      <c r="W103" s="74">
        <f t="shared" si="19"/>
        <v>788.17765545410691</v>
      </c>
    </row>
    <row r="104" spans="1:23" x14ac:dyDescent="0.35">
      <c r="A104" s="70">
        <v>45760</v>
      </c>
      <c r="B104" s="71" t="str">
        <f t="shared" si="12"/>
        <v>So</v>
      </c>
      <c r="C104" s="69">
        <f t="shared" si="13"/>
        <v>4</v>
      </c>
      <c r="D104" s="69">
        <v>103</v>
      </c>
      <c r="E104" s="69" t="str">
        <f>IF(OR(COUNTIF(Feiertage_Hessen_2025!$C$4:$C$13,A104)&gt;0,WEEKDAY(A104,2)=7),"FT",IF(WEEKDAY(A104,2)=6,"SA","WT"))</f>
        <v>FT</v>
      </c>
      <c r="F104" s="69">
        <f>INDEX('BDEW-H25 Tagessummen'!$C$4:$C$39, MATCH(C104&amp;"_"&amp;E104, 'BDEW-H25 Tagessummen'!$D$4:$D$39, 0))</f>
        <v>3047.3090000000016</v>
      </c>
      <c r="G104" s="69">
        <f t="shared" si="10"/>
        <v>1.017100894648</v>
      </c>
      <c r="H104" s="69">
        <f>Tabelle1[[#This Row],[Profilwert (kWh)]]*Tabelle1[[#This Row],[Dynamisierungsfaktor]]</f>
        <v>3099.420710168904</v>
      </c>
      <c r="I104" s="69">
        <f>Annahmen!$B$5*(H104/SUM($H$2:$H$366))</f>
        <v>15.503806589877811</v>
      </c>
      <c r="J104" s="69">
        <f>Annahmen!$B$6</f>
        <v>130</v>
      </c>
      <c r="K104" s="69">
        <f t="shared" si="14"/>
        <v>2015.4948566841156</v>
      </c>
      <c r="L104" s="69">
        <f>I104*Annahmen!$B$7</f>
        <v>10.852664612914467</v>
      </c>
      <c r="M104" s="69">
        <f>I104*(1-Annahmen!$B$7)</f>
        <v>4.651141976963344</v>
      </c>
      <c r="N104" s="69">
        <f>Annahmen!$B$8</f>
        <v>78</v>
      </c>
      <c r="O104" s="72">
        <f>INDEX(Quelle_SMARD_Preise_2025!$C$11:$C$375, MATCH($A104,Quelle_SMARD_Preise_2025!$A$11:$A$375, 0))</f>
        <v>39.200000000000003</v>
      </c>
      <c r="P104" s="69">
        <f t="shared" si="15"/>
        <v>846.50783980732842</v>
      </c>
      <c r="Q104" s="69">
        <f t="shared" si="16"/>
        <v>182.3247654969631</v>
      </c>
      <c r="R104" s="73">
        <f>Annahmen!$B$9</f>
        <v>0.05</v>
      </c>
      <c r="S104" s="69">
        <f t="shared" si="17"/>
        <v>0.77519032949389066</v>
      </c>
      <c r="T104" s="69">
        <f t="shared" si="18"/>
        <v>0</v>
      </c>
      <c r="U104" s="74">
        <f>$O104+Annahmen!$B$10+(T104*Annahmen!$B$11)</f>
        <v>47.2</v>
      </c>
      <c r="V104" s="74">
        <f t="shared" si="11"/>
        <v>36.588983552111642</v>
      </c>
      <c r="W104" s="74">
        <f t="shared" si="19"/>
        <v>950.07326782771224</v>
      </c>
    </row>
    <row r="105" spans="1:23" x14ac:dyDescent="0.35">
      <c r="A105" s="70">
        <v>45761</v>
      </c>
      <c r="B105" s="71" t="str">
        <f t="shared" si="12"/>
        <v>Mo</v>
      </c>
      <c r="C105" s="69">
        <f t="shared" si="13"/>
        <v>4</v>
      </c>
      <c r="D105" s="69">
        <v>104</v>
      </c>
      <c r="E105" s="69" t="str">
        <f>IF(OR(COUNTIF(Feiertage_Hessen_2025!$C$4:$C$13,A105)&gt;0,WEEKDAY(A105,2)=7),"FT",IF(WEEKDAY(A105,2)=6,"SA","WT"))</f>
        <v>WT</v>
      </c>
      <c r="F105" s="69">
        <f>INDEX('BDEW-H25 Tagessummen'!$C$4:$C$39, MATCH(C105&amp;"_"&amp;E105, 'BDEW-H25 Tagessummen'!$D$4:$D$39, 0))</f>
        <v>2554.9519999999998</v>
      </c>
      <c r="G105" s="69">
        <f t="shared" si="10"/>
        <v>1.0132148244480002</v>
      </c>
      <c r="H105" s="69">
        <f>Tabelle1[[#This Row],[Profilwert (kWh)]]*Tabelle1[[#This Row],[Dynamisierungsfaktor]]</f>
        <v>2588.7152421530668</v>
      </c>
      <c r="I105" s="69">
        <f>Annahmen!$B$5*(H105/SUM($H$2:$H$366))</f>
        <v>12.949174759957865</v>
      </c>
      <c r="J105" s="69">
        <f>Annahmen!$B$6</f>
        <v>130</v>
      </c>
      <c r="K105" s="69">
        <f t="shared" si="14"/>
        <v>1683.3927187945224</v>
      </c>
      <c r="L105" s="69">
        <f>I105*Annahmen!$B$7</f>
        <v>9.0644223319705048</v>
      </c>
      <c r="M105" s="69">
        <f>I105*(1-Annahmen!$B$7)</f>
        <v>3.88475242798736</v>
      </c>
      <c r="N105" s="69">
        <f>Annahmen!$B$8</f>
        <v>78</v>
      </c>
      <c r="O105" s="72">
        <f>INDEX(Quelle_SMARD_Preise_2025!$C$11:$C$375, MATCH($A105,Quelle_SMARD_Preise_2025!$A$11:$A$375, 0))</f>
        <v>98.16</v>
      </c>
      <c r="P105" s="69">
        <f t="shared" si="15"/>
        <v>707.02494189369941</v>
      </c>
      <c r="Q105" s="69">
        <f t="shared" si="16"/>
        <v>381.32729833123926</v>
      </c>
      <c r="R105" s="73">
        <f>Annahmen!$B$9</f>
        <v>0.05</v>
      </c>
      <c r="S105" s="69">
        <f t="shared" si="17"/>
        <v>0.64745873799789333</v>
      </c>
      <c r="T105" s="69">
        <f t="shared" si="18"/>
        <v>0</v>
      </c>
      <c r="U105" s="74">
        <f>$O105+Annahmen!$B$10+(T105*Annahmen!$B$11)</f>
        <v>106.16</v>
      </c>
      <c r="V105" s="74">
        <f t="shared" si="11"/>
        <v>68.734219625856355</v>
      </c>
      <c r="W105" s="74">
        <f t="shared" si="19"/>
        <v>526.30625894372736</v>
      </c>
    </row>
    <row r="106" spans="1:23" x14ac:dyDescent="0.35">
      <c r="A106" s="70">
        <v>45762</v>
      </c>
      <c r="B106" s="71" t="str">
        <f t="shared" si="12"/>
        <v>Di</v>
      </c>
      <c r="C106" s="69">
        <f t="shared" si="13"/>
        <v>4</v>
      </c>
      <c r="D106" s="69">
        <v>105</v>
      </c>
      <c r="E106" s="69" t="str">
        <f>IF(OR(COUNTIF(Feiertage_Hessen_2025!$C$4:$C$13,A106)&gt;0,WEEKDAY(A106,2)=7),"FT",IF(WEEKDAY(A106,2)=6,"SA","WT"))</f>
        <v>WT</v>
      </c>
      <c r="F106" s="69">
        <f>INDEX('BDEW-H25 Tagessummen'!$C$4:$C$39, MATCH(C106&amp;"_"&amp;E106, 'BDEW-H25 Tagessummen'!$D$4:$D$39, 0))</f>
        <v>2554.9519999999998</v>
      </c>
      <c r="G106" s="69">
        <f t="shared" si="10"/>
        <v>1.0093371550000001</v>
      </c>
      <c r="H106" s="69">
        <f>Tabelle1[[#This Row],[Profilwert (kWh)]]*Tabelle1[[#This Row],[Dynamisierungsfaktor]]</f>
        <v>2578.8079828415598</v>
      </c>
      <c r="I106" s="69">
        <f>Annahmen!$B$5*(H106/SUM($H$2:$H$366))</f>
        <v>12.899617037220379</v>
      </c>
      <c r="J106" s="69">
        <f>Annahmen!$B$6</f>
        <v>130</v>
      </c>
      <c r="K106" s="69">
        <f t="shared" si="14"/>
        <v>1676.9502148386493</v>
      </c>
      <c r="L106" s="69">
        <f>I106*Annahmen!$B$7</f>
        <v>9.0297319260542643</v>
      </c>
      <c r="M106" s="69">
        <f>I106*(1-Annahmen!$B$7)</f>
        <v>3.8698851111661141</v>
      </c>
      <c r="N106" s="69">
        <f>Annahmen!$B$8</f>
        <v>78</v>
      </c>
      <c r="O106" s="72">
        <f>INDEX(Quelle_SMARD_Preise_2025!$C$11:$C$375, MATCH($A106,Quelle_SMARD_Preise_2025!$A$11:$A$375, 0))</f>
        <v>70.040000000000006</v>
      </c>
      <c r="P106" s="69">
        <f t="shared" si="15"/>
        <v>704.31909023223261</v>
      </c>
      <c r="Q106" s="69">
        <f t="shared" si="16"/>
        <v>271.04675318607468</v>
      </c>
      <c r="R106" s="73">
        <f>Annahmen!$B$9</f>
        <v>0.05</v>
      </c>
      <c r="S106" s="69">
        <f t="shared" si="17"/>
        <v>0.64498085186101894</v>
      </c>
      <c r="T106" s="69">
        <f t="shared" si="18"/>
        <v>0</v>
      </c>
      <c r="U106" s="74">
        <f>$O106+Annahmen!$B$10+(T106*Annahmen!$B$11)</f>
        <v>78.040000000000006</v>
      </c>
      <c r="V106" s="74">
        <f t="shared" si="11"/>
        <v>50.334305679233921</v>
      </c>
      <c r="W106" s="74">
        <f t="shared" si="19"/>
        <v>651.25006574110807</v>
      </c>
    </row>
    <row r="107" spans="1:23" x14ac:dyDescent="0.35">
      <c r="A107" s="70">
        <v>45763</v>
      </c>
      <c r="B107" s="71" t="str">
        <f t="shared" si="12"/>
        <v>Mi</v>
      </c>
      <c r="C107" s="69">
        <f t="shared" si="13"/>
        <v>4</v>
      </c>
      <c r="D107" s="69">
        <v>106</v>
      </c>
      <c r="E107" s="69" t="str">
        <f>IF(OR(COUNTIF(Feiertage_Hessen_2025!$C$4:$C$13,A107)&gt;0,WEEKDAY(A107,2)=7),"FT",IF(WEEKDAY(A107,2)=6,"SA","WT"))</f>
        <v>WT</v>
      </c>
      <c r="F107" s="69">
        <f>INDEX('BDEW-H25 Tagessummen'!$C$4:$C$39, MATCH(C107&amp;"_"&amp;E107, 'BDEW-H25 Tagessummen'!$D$4:$D$39, 0))</f>
        <v>2554.9519999999998</v>
      </c>
      <c r="G107" s="69">
        <f t="shared" si="10"/>
        <v>1.005468823168</v>
      </c>
      <c r="H107" s="69">
        <f>Tabelle1[[#This Row],[Profilwert (kWh)]]*Tabelle1[[#This Row],[Dynamisierungsfaktor]]</f>
        <v>2568.9245806907279</v>
      </c>
      <c r="I107" s="69">
        <f>Annahmen!$B$5*(H107/SUM($H$2:$H$366))</f>
        <v>12.850178651881549</v>
      </c>
      <c r="J107" s="69">
        <f>Annahmen!$B$6</f>
        <v>130</v>
      </c>
      <c r="K107" s="69">
        <f t="shared" si="14"/>
        <v>1670.5232247446015</v>
      </c>
      <c r="L107" s="69">
        <f>I107*Annahmen!$B$7</f>
        <v>8.9951250563170841</v>
      </c>
      <c r="M107" s="69">
        <f>I107*(1-Annahmen!$B$7)</f>
        <v>3.8550535955644651</v>
      </c>
      <c r="N107" s="69">
        <f>Annahmen!$B$8</f>
        <v>78</v>
      </c>
      <c r="O107" s="72">
        <f>INDEX(Quelle_SMARD_Preise_2025!$C$11:$C$375, MATCH($A107,Quelle_SMARD_Preise_2025!$A$11:$A$375, 0))</f>
        <v>89.58</v>
      </c>
      <c r="P107" s="69">
        <f t="shared" si="15"/>
        <v>701.6197543927326</v>
      </c>
      <c r="Q107" s="69">
        <f t="shared" si="16"/>
        <v>345.33570109066477</v>
      </c>
      <c r="R107" s="73">
        <f>Annahmen!$B$9</f>
        <v>0.05</v>
      </c>
      <c r="S107" s="69">
        <f t="shared" si="17"/>
        <v>0.64250893259407749</v>
      </c>
      <c r="T107" s="69">
        <f t="shared" si="18"/>
        <v>0</v>
      </c>
      <c r="U107" s="74">
        <f>$O107+Annahmen!$B$10+(T107*Annahmen!$B$11)</f>
        <v>97.58</v>
      </c>
      <c r="V107" s="74">
        <f t="shared" si="11"/>
        <v>62.696021642530077</v>
      </c>
      <c r="W107" s="74">
        <f t="shared" si="19"/>
        <v>560.87174761867402</v>
      </c>
    </row>
    <row r="108" spans="1:23" x14ac:dyDescent="0.35">
      <c r="A108" s="70">
        <v>45764</v>
      </c>
      <c r="B108" s="71" t="str">
        <f t="shared" si="12"/>
        <v>Do</v>
      </c>
      <c r="C108" s="69">
        <f t="shared" si="13"/>
        <v>4</v>
      </c>
      <c r="D108" s="69">
        <v>107</v>
      </c>
      <c r="E108" s="69" t="str">
        <f>IF(OR(COUNTIF(Feiertage_Hessen_2025!$C$4:$C$13,A108)&gt;0,WEEKDAY(A108,2)=7),"FT",IF(WEEKDAY(A108,2)=6,"SA","WT"))</f>
        <v>WT</v>
      </c>
      <c r="F108" s="69">
        <f>INDEX('BDEW-H25 Tagessummen'!$C$4:$C$39, MATCH(C108&amp;"_"&amp;E108, 'BDEW-H25 Tagessummen'!$D$4:$D$39, 0))</f>
        <v>2554.9519999999998</v>
      </c>
      <c r="G108" s="69">
        <f t="shared" si="10"/>
        <v>1.0016107564080001</v>
      </c>
      <c r="H108" s="69">
        <f>Tabelle1[[#This Row],[Profilwert (kWh)]]*Tabelle1[[#This Row],[Dynamisierungsfaktor]]</f>
        <v>2559.0674053061325</v>
      </c>
      <c r="I108" s="69">
        <f>Annahmen!$B$5*(H108/SUM($H$2:$H$366))</f>
        <v>12.800871457093869</v>
      </c>
      <c r="J108" s="69">
        <f>Annahmen!$B$6</f>
        <v>130</v>
      </c>
      <c r="K108" s="69">
        <f t="shared" si="14"/>
        <v>1664.113289422203</v>
      </c>
      <c r="L108" s="69">
        <f>I108*Annahmen!$B$7</f>
        <v>8.9606100199657082</v>
      </c>
      <c r="M108" s="69">
        <f>I108*(1-Annahmen!$B$7)</f>
        <v>3.8402614371281611</v>
      </c>
      <c r="N108" s="69">
        <f>Annahmen!$B$8</f>
        <v>78</v>
      </c>
      <c r="O108" s="72">
        <f>INDEX(Quelle_SMARD_Preise_2025!$C$11:$C$375, MATCH($A108,Quelle_SMARD_Preise_2025!$A$11:$A$375, 0))</f>
        <v>98.49</v>
      </c>
      <c r="P108" s="69">
        <f t="shared" si="15"/>
        <v>698.9275815573252</v>
      </c>
      <c r="Q108" s="69">
        <f t="shared" si="16"/>
        <v>378.2273489427526</v>
      </c>
      <c r="R108" s="73">
        <f>Annahmen!$B$9</f>
        <v>0.05</v>
      </c>
      <c r="S108" s="69">
        <f t="shared" si="17"/>
        <v>0.64004357285469349</v>
      </c>
      <c r="T108" s="69">
        <f t="shared" si="18"/>
        <v>0</v>
      </c>
      <c r="U108" s="74">
        <f>$O108+Annahmen!$B$10+(T108*Annahmen!$B$11)</f>
        <v>106.49</v>
      </c>
      <c r="V108" s="74">
        <f t="shared" si="11"/>
        <v>68.158240073296312</v>
      </c>
      <c r="W108" s="74">
        <f t="shared" si="19"/>
        <v>518.8001188488289</v>
      </c>
    </row>
    <row r="109" spans="1:23" x14ac:dyDescent="0.35">
      <c r="A109" s="70">
        <v>45765</v>
      </c>
      <c r="B109" s="71" t="str">
        <f t="shared" si="12"/>
        <v>Fr</v>
      </c>
      <c r="C109" s="69">
        <f t="shared" si="13"/>
        <v>4</v>
      </c>
      <c r="D109" s="69">
        <v>108</v>
      </c>
      <c r="E109" s="69" t="str">
        <f>IF(OR(COUNTIF(Feiertage_Hessen_2025!$C$4:$C$13,A109)&gt;0,WEEKDAY(A109,2)=7),"FT",IF(WEEKDAY(A109,2)=6,"SA","WT"))</f>
        <v>FT</v>
      </c>
      <c r="F109" s="69">
        <f>INDEX('BDEW-H25 Tagessummen'!$C$4:$C$39, MATCH(C109&amp;"_"&amp;E109, 'BDEW-H25 Tagessummen'!$D$4:$D$39, 0))</f>
        <v>3047.3090000000016</v>
      </c>
      <c r="G109" s="69">
        <f t="shared" si="10"/>
        <v>0.99776387276800005</v>
      </c>
      <c r="H109" s="69">
        <f>Tabelle1[[#This Row],[Profilwert (kWh)]]*Tabelle1[[#This Row],[Dynamisierungsfaktor]]</f>
        <v>3040.4948293607831</v>
      </c>
      <c r="I109" s="69">
        <f>Annahmen!$B$5*(H109/SUM($H$2:$H$366))</f>
        <v>15.209049748320309</v>
      </c>
      <c r="J109" s="69">
        <f>Annahmen!$B$6</f>
        <v>130</v>
      </c>
      <c r="K109" s="69">
        <f t="shared" si="14"/>
        <v>1977.1764672816403</v>
      </c>
      <c r="L109" s="69">
        <f>I109*Annahmen!$B$7</f>
        <v>10.646334823824215</v>
      </c>
      <c r="M109" s="69">
        <f>I109*(1-Annahmen!$B$7)</f>
        <v>4.5627149244960936</v>
      </c>
      <c r="N109" s="69">
        <f>Annahmen!$B$8</f>
        <v>78</v>
      </c>
      <c r="O109" s="72">
        <f>INDEX(Quelle_SMARD_Preise_2025!$C$11:$C$375, MATCH($A109,Quelle_SMARD_Preise_2025!$A$11:$A$375, 0))</f>
        <v>87.9</v>
      </c>
      <c r="P109" s="69">
        <f t="shared" si="15"/>
        <v>830.4141162582888</v>
      </c>
      <c r="Q109" s="69">
        <f t="shared" si="16"/>
        <v>401.06264186320664</v>
      </c>
      <c r="R109" s="73">
        <f>Annahmen!$B$9</f>
        <v>0.05</v>
      </c>
      <c r="S109" s="69">
        <f t="shared" si="17"/>
        <v>0.76045248741601545</v>
      </c>
      <c r="T109" s="69">
        <f t="shared" si="18"/>
        <v>0</v>
      </c>
      <c r="U109" s="74">
        <f>$O109+Annahmen!$B$10+(T109*Annahmen!$B$11)</f>
        <v>95.9</v>
      </c>
      <c r="V109" s="74">
        <f t="shared" si="11"/>
        <v>72.92739354319589</v>
      </c>
      <c r="W109" s="74">
        <f t="shared" si="19"/>
        <v>672.77231561694907</v>
      </c>
    </row>
    <row r="110" spans="1:23" x14ac:dyDescent="0.35">
      <c r="A110" s="70">
        <v>45766</v>
      </c>
      <c r="B110" s="71" t="str">
        <f t="shared" si="12"/>
        <v>Sa</v>
      </c>
      <c r="C110" s="69">
        <f t="shared" si="13"/>
        <v>4</v>
      </c>
      <c r="D110" s="69">
        <v>109</v>
      </c>
      <c r="E110" s="69" t="str">
        <f>IF(OR(COUNTIF(Feiertage_Hessen_2025!$C$4:$C$13,A110)&gt;0,WEEKDAY(A110,2)=7),"FT",IF(WEEKDAY(A110,2)=6,"SA","WT"))</f>
        <v>SA</v>
      </c>
      <c r="F110" s="69">
        <f>INDEX('BDEW-H25 Tagessummen'!$C$4:$C$39, MATCH(C110&amp;"_"&amp;E110, 'BDEW-H25 Tagessummen'!$D$4:$D$39, 0))</f>
        <v>2961.768</v>
      </c>
      <c r="G110" s="69">
        <f t="shared" si="10"/>
        <v>0.99392908088800003</v>
      </c>
      <c r="H110" s="69">
        <f>Tabelle1[[#This Row],[Profilwert (kWh)]]*Tabelle1[[#This Row],[Dynamisierungsfaktor]]</f>
        <v>2943.7873460434903</v>
      </c>
      <c r="I110" s="69">
        <f>Annahmen!$B$5*(H110/SUM($H$2:$H$366))</f>
        <v>14.725303184897676</v>
      </c>
      <c r="J110" s="69">
        <f>Annahmen!$B$6</f>
        <v>130</v>
      </c>
      <c r="K110" s="69">
        <f t="shared" si="14"/>
        <v>1914.289414036698</v>
      </c>
      <c r="L110" s="69">
        <f>I110*Annahmen!$B$7</f>
        <v>10.307712229428372</v>
      </c>
      <c r="M110" s="69">
        <f>I110*(1-Annahmen!$B$7)</f>
        <v>4.4175909554693034</v>
      </c>
      <c r="N110" s="69">
        <f>Annahmen!$B$8</f>
        <v>78</v>
      </c>
      <c r="O110" s="72">
        <f>INDEX(Quelle_SMARD_Preise_2025!$C$11:$C$375, MATCH($A110,Quelle_SMARD_Preise_2025!$A$11:$A$375, 0))</f>
        <v>68.92</v>
      </c>
      <c r="P110" s="69">
        <f t="shared" si="15"/>
        <v>804.00155389541305</v>
      </c>
      <c r="Q110" s="69">
        <f t="shared" si="16"/>
        <v>304.46036865094442</v>
      </c>
      <c r="R110" s="73">
        <f>Annahmen!$B$9</f>
        <v>0.05</v>
      </c>
      <c r="S110" s="69">
        <f t="shared" si="17"/>
        <v>0.73626515924488389</v>
      </c>
      <c r="T110" s="69">
        <f t="shared" si="18"/>
        <v>0</v>
      </c>
      <c r="U110" s="74">
        <f>$O110+Annahmen!$B$10+(T110*Annahmen!$B$11)</f>
        <v>76.92</v>
      </c>
      <c r="V110" s="74">
        <f t="shared" si="11"/>
        <v>56.633516049116473</v>
      </c>
      <c r="W110" s="74">
        <f t="shared" si="19"/>
        <v>749.19397544122398</v>
      </c>
    </row>
    <row r="111" spans="1:23" x14ac:dyDescent="0.35">
      <c r="A111" s="70">
        <v>45767</v>
      </c>
      <c r="B111" s="71" t="str">
        <f t="shared" si="12"/>
        <v>So</v>
      </c>
      <c r="C111" s="69">
        <f t="shared" si="13"/>
        <v>4</v>
      </c>
      <c r="D111" s="69">
        <v>110</v>
      </c>
      <c r="E111" s="69" t="str">
        <f>IF(OR(COUNTIF(Feiertage_Hessen_2025!$C$4:$C$13,A111)&gt;0,WEEKDAY(A111,2)=7),"FT",IF(WEEKDAY(A111,2)=6,"SA","WT"))</f>
        <v>FT</v>
      </c>
      <c r="F111" s="69">
        <f>INDEX('BDEW-H25 Tagessummen'!$C$4:$C$39, MATCH(C111&amp;"_"&amp;E111, 'BDEW-H25 Tagessummen'!$D$4:$D$39, 0))</f>
        <v>3047.3090000000016</v>
      </c>
      <c r="G111" s="69">
        <f t="shared" si="10"/>
        <v>0.99010728000000015</v>
      </c>
      <c r="H111" s="69">
        <f>Tabelle1[[#This Row],[Profilwert (kWh)]]*Tabelle1[[#This Row],[Dynamisierungsfaktor]]</f>
        <v>3017.1628253095218</v>
      </c>
      <c r="I111" s="69">
        <f>Annahmen!$B$5*(H111/SUM($H$2:$H$366))</f>
        <v>15.092339268527041</v>
      </c>
      <c r="J111" s="69">
        <f>Annahmen!$B$6</f>
        <v>130</v>
      </c>
      <c r="K111" s="69">
        <f t="shared" si="14"/>
        <v>1962.0041049085153</v>
      </c>
      <c r="L111" s="69">
        <f>I111*Annahmen!$B$7</f>
        <v>10.564637487968929</v>
      </c>
      <c r="M111" s="69">
        <f>I111*(1-Annahmen!$B$7)</f>
        <v>4.5277017805581128</v>
      </c>
      <c r="N111" s="69">
        <f>Annahmen!$B$8</f>
        <v>78</v>
      </c>
      <c r="O111" s="72">
        <f>INDEX(Quelle_SMARD_Preise_2025!$C$11:$C$375, MATCH($A111,Quelle_SMARD_Preise_2025!$A$11:$A$375, 0))</f>
        <v>65.260000000000005</v>
      </c>
      <c r="P111" s="69">
        <f t="shared" si="15"/>
        <v>824.04172406157647</v>
      </c>
      <c r="Q111" s="69">
        <f t="shared" si="16"/>
        <v>295.47781819922244</v>
      </c>
      <c r="R111" s="73">
        <f>Annahmen!$B$9</f>
        <v>0.05</v>
      </c>
      <c r="S111" s="69">
        <f t="shared" si="17"/>
        <v>0.75461696342635209</v>
      </c>
      <c r="T111" s="69">
        <f t="shared" si="18"/>
        <v>0</v>
      </c>
      <c r="U111" s="74">
        <f>$O111+Annahmen!$B$10+(T111*Annahmen!$B$11)</f>
        <v>73.260000000000005</v>
      </c>
      <c r="V111" s="74">
        <f t="shared" si="11"/>
        <v>55.283238740614557</v>
      </c>
      <c r="W111" s="74">
        <f t="shared" si="19"/>
        <v>787.20132390710171</v>
      </c>
    </row>
    <row r="112" spans="1:23" x14ac:dyDescent="0.35">
      <c r="A112" s="70">
        <v>45768</v>
      </c>
      <c r="B112" s="71" t="str">
        <f t="shared" si="12"/>
        <v>Mo</v>
      </c>
      <c r="C112" s="69">
        <f t="shared" si="13"/>
        <v>4</v>
      </c>
      <c r="D112" s="69">
        <v>111</v>
      </c>
      <c r="E112" s="69" t="str">
        <f>IF(OR(COUNTIF(Feiertage_Hessen_2025!$C$4:$C$13,A112)&gt;0,WEEKDAY(A112,2)=7),"FT",IF(WEEKDAY(A112,2)=6,"SA","WT"))</f>
        <v>FT</v>
      </c>
      <c r="F112" s="69">
        <f>INDEX('BDEW-H25 Tagessummen'!$C$4:$C$39, MATCH(C112&amp;"_"&amp;E112, 'BDEW-H25 Tagessummen'!$D$4:$D$39, 0))</f>
        <v>3047.3090000000016</v>
      </c>
      <c r="G112" s="69">
        <f t="shared" si="10"/>
        <v>0.98629935992800011</v>
      </c>
      <c r="H112" s="69">
        <f>Tabelle1[[#This Row],[Profilwert (kWh)]]*Tabelle1[[#This Row],[Dynamisierungsfaktor]]</f>
        <v>3005.5589162028355</v>
      </c>
      <c r="I112" s="69">
        <f>Annahmen!$B$5*(H112/SUM($H$2:$H$366))</f>
        <v>15.034294627511921</v>
      </c>
      <c r="J112" s="69">
        <f>Annahmen!$B$6</f>
        <v>130</v>
      </c>
      <c r="K112" s="69">
        <f t="shared" si="14"/>
        <v>1954.4583015765497</v>
      </c>
      <c r="L112" s="69">
        <f>I112*Annahmen!$B$7</f>
        <v>10.524006239258345</v>
      </c>
      <c r="M112" s="69">
        <f>I112*(1-Annahmen!$B$7)</f>
        <v>4.5102883882535769</v>
      </c>
      <c r="N112" s="69">
        <f>Annahmen!$B$8</f>
        <v>78</v>
      </c>
      <c r="O112" s="72">
        <f>INDEX(Quelle_SMARD_Preise_2025!$C$11:$C$375, MATCH($A112,Quelle_SMARD_Preise_2025!$A$11:$A$375, 0))</f>
        <v>81.99</v>
      </c>
      <c r="P112" s="69">
        <f t="shared" si="15"/>
        <v>820.87248666215089</v>
      </c>
      <c r="Q112" s="69">
        <f t="shared" si="16"/>
        <v>369.79854495291073</v>
      </c>
      <c r="R112" s="73">
        <f>Annahmen!$B$9</f>
        <v>0.05</v>
      </c>
      <c r="S112" s="69">
        <f t="shared" si="17"/>
        <v>0.75171473137559608</v>
      </c>
      <c r="T112" s="69">
        <f t="shared" si="18"/>
        <v>0</v>
      </c>
      <c r="U112" s="74">
        <f>$O112+Annahmen!$B$10+(T112*Annahmen!$B$11)</f>
        <v>89.99</v>
      </c>
      <c r="V112" s="74">
        <f t="shared" si="11"/>
        <v>67.646808676489883</v>
      </c>
      <c r="W112" s="74">
        <f t="shared" si="19"/>
        <v>696.14046128499808</v>
      </c>
    </row>
    <row r="113" spans="1:23" x14ac:dyDescent="0.35">
      <c r="A113" s="70">
        <v>45769</v>
      </c>
      <c r="B113" s="71" t="str">
        <f t="shared" si="12"/>
        <v>Di</v>
      </c>
      <c r="C113" s="69">
        <f t="shared" si="13"/>
        <v>4</v>
      </c>
      <c r="D113" s="69">
        <v>112</v>
      </c>
      <c r="E113" s="69" t="str">
        <f>IF(OR(COUNTIF(Feiertage_Hessen_2025!$C$4:$C$13,A113)&gt;0,WEEKDAY(A113,2)=7),"FT",IF(WEEKDAY(A113,2)=6,"SA","WT"))</f>
        <v>WT</v>
      </c>
      <c r="F113" s="69">
        <f>INDEX('BDEW-H25 Tagessummen'!$C$4:$C$39, MATCH(C113&amp;"_"&amp;E113, 'BDEW-H25 Tagessummen'!$D$4:$D$39, 0))</f>
        <v>2554.9519999999998</v>
      </c>
      <c r="G113" s="69">
        <f t="shared" si="10"/>
        <v>0.98250620108800013</v>
      </c>
      <c r="H113" s="69">
        <f>Tabelle1[[#This Row],[Profilwert (kWh)]]*Tabelle1[[#This Row],[Dynamisierungsfaktor]]</f>
        <v>2510.2561834821877</v>
      </c>
      <c r="I113" s="69">
        <f>Annahmen!$B$5*(H113/SUM($H$2:$H$366))</f>
        <v>12.556709785175238</v>
      </c>
      <c r="J113" s="69">
        <f>Annahmen!$B$6</f>
        <v>130</v>
      </c>
      <c r="K113" s="69">
        <f t="shared" si="14"/>
        <v>1632.372272072781</v>
      </c>
      <c r="L113" s="69">
        <f>I113*Annahmen!$B$7</f>
        <v>8.7896968496226666</v>
      </c>
      <c r="M113" s="69">
        <f>I113*(1-Annahmen!$B$7)</f>
        <v>3.7670129355525721</v>
      </c>
      <c r="N113" s="69">
        <f>Annahmen!$B$8</f>
        <v>78</v>
      </c>
      <c r="O113" s="72">
        <f>INDEX(Quelle_SMARD_Preise_2025!$C$11:$C$375, MATCH($A113,Quelle_SMARD_Preise_2025!$A$11:$A$375, 0))</f>
        <v>112.64</v>
      </c>
      <c r="P113" s="69">
        <f t="shared" si="15"/>
        <v>685.59635427056799</v>
      </c>
      <c r="Q113" s="69">
        <f t="shared" si="16"/>
        <v>424.31633706064173</v>
      </c>
      <c r="R113" s="73">
        <f>Annahmen!$B$9</f>
        <v>0.05</v>
      </c>
      <c r="S113" s="69">
        <f t="shared" si="17"/>
        <v>0.62783548925876198</v>
      </c>
      <c r="T113" s="69">
        <f t="shared" si="18"/>
        <v>0</v>
      </c>
      <c r="U113" s="74">
        <f>$O113+Annahmen!$B$10+(T113*Annahmen!$B$11)</f>
        <v>120.64</v>
      </c>
      <c r="V113" s="74">
        <f t="shared" si="11"/>
        <v>75.74207342417705</v>
      </c>
      <c r="W113" s="74">
        <f t="shared" si="19"/>
        <v>446.71750731739417</v>
      </c>
    </row>
    <row r="114" spans="1:23" x14ac:dyDescent="0.35">
      <c r="A114" s="70">
        <v>45770</v>
      </c>
      <c r="B114" s="71" t="str">
        <f t="shared" si="12"/>
        <v>Mi</v>
      </c>
      <c r="C114" s="69">
        <f t="shared" si="13"/>
        <v>4</v>
      </c>
      <c r="D114" s="69">
        <v>113</v>
      </c>
      <c r="E114" s="69" t="str">
        <f>IF(OR(COUNTIF(Feiertage_Hessen_2025!$C$4:$C$13,A114)&gt;0,WEEKDAY(A114,2)=7),"FT",IF(WEEKDAY(A114,2)=6,"SA","WT"))</f>
        <v>WT</v>
      </c>
      <c r="F114" s="69">
        <f>INDEX('BDEW-H25 Tagessummen'!$C$4:$C$39, MATCH(C114&amp;"_"&amp;E114, 'BDEW-H25 Tagessummen'!$D$4:$D$39, 0))</f>
        <v>2554.9519999999998</v>
      </c>
      <c r="G114" s="69">
        <f t="shared" si="10"/>
        <v>0.97872867448800016</v>
      </c>
      <c r="H114" s="69">
        <f>Tabelle1[[#This Row],[Profilwert (kWh)]]*Tabelle1[[#This Row],[Dynamisierungsfaktor]]</f>
        <v>2500.6047843404649</v>
      </c>
      <c r="I114" s="69">
        <f>Annahmen!$B$5*(H114/SUM($H$2:$H$366))</f>
        <v>12.508431916629014</v>
      </c>
      <c r="J114" s="69">
        <f>Annahmen!$B$6</f>
        <v>130</v>
      </c>
      <c r="K114" s="69">
        <f t="shared" si="14"/>
        <v>1626.0961491617718</v>
      </c>
      <c r="L114" s="69">
        <f>I114*Annahmen!$B$7</f>
        <v>8.7559023416403097</v>
      </c>
      <c r="M114" s="69">
        <f>I114*(1-Annahmen!$B$7)</f>
        <v>3.7525295749887047</v>
      </c>
      <c r="N114" s="69">
        <f>Annahmen!$B$8</f>
        <v>78</v>
      </c>
      <c r="O114" s="72">
        <f>INDEX(Quelle_SMARD_Preise_2025!$C$11:$C$375, MATCH($A114,Quelle_SMARD_Preise_2025!$A$11:$A$375, 0))</f>
        <v>109.48</v>
      </c>
      <c r="P114" s="69">
        <f t="shared" si="15"/>
        <v>682.96038264794413</v>
      </c>
      <c r="Q114" s="69">
        <f t="shared" si="16"/>
        <v>410.82693786976341</v>
      </c>
      <c r="R114" s="73">
        <f>Annahmen!$B$9</f>
        <v>0.05</v>
      </c>
      <c r="S114" s="69">
        <f t="shared" si="17"/>
        <v>0.62542159583145074</v>
      </c>
      <c r="T114" s="69">
        <f t="shared" si="18"/>
        <v>0</v>
      </c>
      <c r="U114" s="74">
        <f>$O114+Annahmen!$B$10+(T114*Annahmen!$B$11)</f>
        <v>117.48</v>
      </c>
      <c r="V114" s="74">
        <f t="shared" si="11"/>
        <v>73.474529078278835</v>
      </c>
      <c r="W114" s="74">
        <f t="shared" si="19"/>
        <v>458.8342995657855</v>
      </c>
    </row>
    <row r="115" spans="1:23" x14ac:dyDescent="0.35">
      <c r="A115" s="70">
        <v>45771</v>
      </c>
      <c r="B115" s="71" t="str">
        <f t="shared" si="12"/>
        <v>Do</v>
      </c>
      <c r="C115" s="69">
        <f t="shared" si="13"/>
        <v>4</v>
      </c>
      <c r="D115" s="69">
        <v>114</v>
      </c>
      <c r="E115" s="69" t="str">
        <f>IF(OR(COUNTIF(Feiertage_Hessen_2025!$C$4:$C$13,A115)&gt;0,WEEKDAY(A115,2)=7),"FT",IF(WEEKDAY(A115,2)=6,"SA","WT"))</f>
        <v>WT</v>
      </c>
      <c r="F115" s="69">
        <f>INDEX('BDEW-H25 Tagessummen'!$C$4:$C$39, MATCH(C115&amp;"_"&amp;E115, 'BDEW-H25 Tagessummen'!$D$4:$D$39, 0))</f>
        <v>2554.9519999999998</v>
      </c>
      <c r="G115" s="69">
        <f t="shared" si="10"/>
        <v>0.9749676417280001</v>
      </c>
      <c r="H115" s="69">
        <f>Tabelle1[[#This Row],[Profilwert (kWh)]]*Tabelle1[[#This Row],[Dynamisierungsfaktor]]</f>
        <v>2490.9955261682371</v>
      </c>
      <c r="I115" s="69">
        <f>Annahmen!$B$5*(H115/SUM($H$2:$H$366))</f>
        <v>12.460364844067476</v>
      </c>
      <c r="J115" s="69">
        <f>Annahmen!$B$6</f>
        <v>130</v>
      </c>
      <c r="K115" s="69">
        <f t="shared" si="14"/>
        <v>1619.8474297287719</v>
      </c>
      <c r="L115" s="69">
        <f>I115*Annahmen!$B$7</f>
        <v>8.7222553908472324</v>
      </c>
      <c r="M115" s="69">
        <f>I115*(1-Annahmen!$B$7)</f>
        <v>3.7381094532202432</v>
      </c>
      <c r="N115" s="69">
        <f>Annahmen!$B$8</f>
        <v>78</v>
      </c>
      <c r="O115" s="72">
        <f>INDEX(Quelle_SMARD_Preise_2025!$C$11:$C$375, MATCH($A115,Quelle_SMARD_Preise_2025!$A$11:$A$375, 0))</f>
        <v>96.8</v>
      </c>
      <c r="P115" s="69">
        <f t="shared" si="15"/>
        <v>680.33592048608409</v>
      </c>
      <c r="Q115" s="69">
        <f t="shared" si="16"/>
        <v>361.84899507171951</v>
      </c>
      <c r="R115" s="73">
        <f>Annahmen!$B$9</f>
        <v>0.05</v>
      </c>
      <c r="S115" s="69">
        <f t="shared" si="17"/>
        <v>0.62301824220337387</v>
      </c>
      <c r="T115" s="69">
        <f t="shared" si="18"/>
        <v>0</v>
      </c>
      <c r="U115" s="74">
        <f>$O115+Annahmen!$B$10+(T115*Annahmen!$B$11)</f>
        <v>104.8</v>
      </c>
      <c r="V115" s="74">
        <f t="shared" si="11"/>
        <v>65.292311782913586</v>
      </c>
      <c r="W115" s="74">
        <f t="shared" si="19"/>
        <v>512.37020238805474</v>
      </c>
    </row>
    <row r="116" spans="1:23" x14ac:dyDescent="0.35">
      <c r="A116" s="70">
        <v>45772</v>
      </c>
      <c r="B116" s="71" t="str">
        <f t="shared" si="12"/>
        <v>Fr</v>
      </c>
      <c r="C116" s="69">
        <f t="shared" si="13"/>
        <v>4</v>
      </c>
      <c r="D116" s="69">
        <v>115</v>
      </c>
      <c r="E116" s="69" t="str">
        <f>IF(OR(COUNTIF(Feiertage_Hessen_2025!$C$4:$C$13,A116)&gt;0,WEEKDAY(A116,2)=7),"FT",IF(WEEKDAY(A116,2)=6,"SA","WT"))</f>
        <v>WT</v>
      </c>
      <c r="F116" s="69">
        <f>INDEX('BDEW-H25 Tagessummen'!$C$4:$C$39, MATCH(C116&amp;"_"&amp;E116, 'BDEW-H25 Tagessummen'!$D$4:$D$39, 0))</f>
        <v>2554.9519999999998</v>
      </c>
      <c r="G116" s="69">
        <f t="shared" si="10"/>
        <v>0.97122395500000014</v>
      </c>
      <c r="H116" s="69">
        <f>Tabelle1[[#This Row],[Profilwert (kWh)]]*Tabelle1[[#This Row],[Dynamisierungsfaktor]]</f>
        <v>2481.4305862751603</v>
      </c>
      <c r="I116" s="69">
        <f>Annahmen!$B$5*(H116/SUM($H$2:$H$366))</f>
        <v>12.412519458747719</v>
      </c>
      <c r="J116" s="69">
        <f>Annahmen!$B$6</f>
        <v>130</v>
      </c>
      <c r="K116" s="69">
        <f t="shared" si="14"/>
        <v>1613.6275296372035</v>
      </c>
      <c r="L116" s="69">
        <f>I116*Annahmen!$B$7</f>
        <v>8.6887636211234032</v>
      </c>
      <c r="M116" s="69">
        <f>I116*(1-Annahmen!$B$7)</f>
        <v>3.7237558376243163</v>
      </c>
      <c r="N116" s="69">
        <f>Annahmen!$B$8</f>
        <v>78</v>
      </c>
      <c r="O116" s="72">
        <f>INDEX(Quelle_SMARD_Preise_2025!$C$11:$C$375, MATCH($A116,Quelle_SMARD_Preise_2025!$A$11:$A$375, 0))</f>
        <v>88.53</v>
      </c>
      <c r="P116" s="69">
        <f t="shared" si="15"/>
        <v>677.72356244762545</v>
      </c>
      <c r="Q116" s="69">
        <f t="shared" si="16"/>
        <v>329.66410430488071</v>
      </c>
      <c r="R116" s="73">
        <f>Annahmen!$B$9</f>
        <v>0.05</v>
      </c>
      <c r="S116" s="69">
        <f t="shared" si="17"/>
        <v>0.62062597293738597</v>
      </c>
      <c r="T116" s="69">
        <f t="shared" si="18"/>
        <v>0</v>
      </c>
      <c r="U116" s="74">
        <f>$O116+Annahmen!$B$10+(T116*Annahmen!$B$11)</f>
        <v>96.53</v>
      </c>
      <c r="V116" s="74">
        <f t="shared" si="11"/>
        <v>59.909025167645872</v>
      </c>
      <c r="W116" s="74">
        <f t="shared" si="19"/>
        <v>546.33083771705139</v>
      </c>
    </row>
    <row r="117" spans="1:23" x14ac:dyDescent="0.35">
      <c r="A117" s="70">
        <v>45773</v>
      </c>
      <c r="B117" s="71" t="str">
        <f t="shared" si="12"/>
        <v>Sa</v>
      </c>
      <c r="C117" s="69">
        <f t="shared" si="13"/>
        <v>4</v>
      </c>
      <c r="D117" s="69">
        <v>116</v>
      </c>
      <c r="E117" s="69" t="str">
        <f>IF(OR(COUNTIF(Feiertage_Hessen_2025!$C$4:$C$13,A117)&gt;0,WEEKDAY(A117,2)=7),"FT",IF(WEEKDAY(A117,2)=6,"SA","WT"))</f>
        <v>SA</v>
      </c>
      <c r="F117" s="69">
        <f>INDEX('BDEW-H25 Tagessummen'!$C$4:$C$39, MATCH(C117&amp;"_"&amp;E117, 'BDEW-H25 Tagessummen'!$D$4:$D$39, 0))</f>
        <v>2961.768</v>
      </c>
      <c r="G117" s="69">
        <f t="shared" si="10"/>
        <v>0.96749845708800009</v>
      </c>
      <c r="H117" s="69">
        <f>Tabelle1[[#This Row],[Profilwert (kWh)]]*Tabelle1[[#This Row],[Dynamisierungsfaktor]]</f>
        <v>2865.5059702526119</v>
      </c>
      <c r="I117" s="69">
        <f>Annahmen!$B$5*(H117/SUM($H$2:$H$366))</f>
        <v>14.333727008785338</v>
      </c>
      <c r="J117" s="69">
        <f>Annahmen!$B$6</f>
        <v>130</v>
      </c>
      <c r="K117" s="69">
        <f t="shared" si="14"/>
        <v>1863.384511142094</v>
      </c>
      <c r="L117" s="69">
        <f>I117*Annahmen!$B$7</f>
        <v>10.033608906149736</v>
      </c>
      <c r="M117" s="69">
        <f>I117*(1-Annahmen!$B$7)</f>
        <v>4.3001181026356026</v>
      </c>
      <c r="N117" s="69">
        <f>Annahmen!$B$8</f>
        <v>78</v>
      </c>
      <c r="O117" s="72">
        <f>INDEX(Quelle_SMARD_Preise_2025!$C$11:$C$375, MATCH($A117,Quelle_SMARD_Preise_2025!$A$11:$A$375, 0))</f>
        <v>57.39</v>
      </c>
      <c r="P117" s="69">
        <f t="shared" si="15"/>
        <v>782.62149467967936</v>
      </c>
      <c r="Q117" s="69">
        <f t="shared" si="16"/>
        <v>246.78377791025724</v>
      </c>
      <c r="R117" s="73">
        <f>Annahmen!$B$9</f>
        <v>0.05</v>
      </c>
      <c r="S117" s="69">
        <f t="shared" si="17"/>
        <v>0.71668635043926698</v>
      </c>
      <c r="T117" s="69">
        <f t="shared" si="18"/>
        <v>0</v>
      </c>
      <c r="U117" s="74">
        <f>$O117+Annahmen!$B$10+(T117*Annahmen!$B$11)</f>
        <v>65.39</v>
      </c>
      <c r="V117" s="74">
        <f t="shared" si="11"/>
        <v>46.86412045522367</v>
      </c>
      <c r="W117" s="74">
        <f t="shared" si="19"/>
        <v>787.11511809693388</v>
      </c>
    </row>
    <row r="118" spans="1:23" x14ac:dyDescent="0.35">
      <c r="A118" s="70">
        <v>45774</v>
      </c>
      <c r="B118" s="71" t="str">
        <f t="shared" si="12"/>
        <v>So</v>
      </c>
      <c r="C118" s="69">
        <f t="shared" si="13"/>
        <v>4</v>
      </c>
      <c r="D118" s="69">
        <v>117</v>
      </c>
      <c r="E118" s="69" t="str">
        <f>IF(OR(COUNTIF(Feiertage_Hessen_2025!$C$4:$C$13,A118)&gt;0,WEEKDAY(A118,2)=7),"FT",IF(WEEKDAY(A118,2)=6,"SA","WT"))</f>
        <v>FT</v>
      </c>
      <c r="F118" s="69">
        <f>INDEX('BDEW-H25 Tagessummen'!$C$4:$C$39, MATCH(C118&amp;"_"&amp;E118, 'BDEW-H25 Tagessummen'!$D$4:$D$39, 0))</f>
        <v>3047.3090000000016</v>
      </c>
      <c r="G118" s="69">
        <f t="shared" si="10"/>
        <v>0.96379198136800004</v>
      </c>
      <c r="H118" s="69">
        <f>Tabelle1[[#This Row],[Profilwert (kWh)]]*Tabelle1[[#This Row],[Dynamisierungsfaktor]]</f>
        <v>2936.9719789505402</v>
      </c>
      <c r="I118" s="69">
        <f>Annahmen!$B$5*(H118/SUM($H$2:$H$366))</f>
        <v>14.691211610010329</v>
      </c>
      <c r="J118" s="69">
        <f>Annahmen!$B$6</f>
        <v>130</v>
      </c>
      <c r="K118" s="69">
        <f t="shared" si="14"/>
        <v>1909.8575093013428</v>
      </c>
      <c r="L118" s="69">
        <f>I118*Annahmen!$B$7</f>
        <v>10.28384812700723</v>
      </c>
      <c r="M118" s="69">
        <f>I118*(1-Annahmen!$B$7)</f>
        <v>4.4073634830030999</v>
      </c>
      <c r="N118" s="69">
        <f>Annahmen!$B$8</f>
        <v>78</v>
      </c>
      <c r="O118" s="72">
        <f>INDEX(Quelle_SMARD_Preise_2025!$C$11:$C$375, MATCH($A118,Quelle_SMARD_Preise_2025!$A$11:$A$375, 0))</f>
        <v>31.43</v>
      </c>
      <c r="P118" s="69">
        <f t="shared" si="15"/>
        <v>802.14015390656402</v>
      </c>
      <c r="Q118" s="69">
        <f t="shared" si="16"/>
        <v>138.52343427078742</v>
      </c>
      <c r="R118" s="73">
        <f>Annahmen!$B$9</f>
        <v>0.05</v>
      </c>
      <c r="S118" s="69">
        <f t="shared" si="17"/>
        <v>0.73456058050051654</v>
      </c>
      <c r="T118" s="69">
        <f t="shared" si="18"/>
        <v>0</v>
      </c>
      <c r="U118" s="74">
        <f>$O118+Annahmen!$B$10+(T118*Annahmen!$B$11)</f>
        <v>39.43</v>
      </c>
      <c r="V118" s="74">
        <f t="shared" si="11"/>
        <v>28.963723689135367</v>
      </c>
      <c r="W118" s="74">
        <f t="shared" si="19"/>
        <v>940.23019743485588</v>
      </c>
    </row>
    <row r="119" spans="1:23" x14ac:dyDescent="0.35">
      <c r="A119" s="70">
        <v>45775</v>
      </c>
      <c r="B119" s="71" t="str">
        <f t="shared" si="12"/>
        <v>Mo</v>
      </c>
      <c r="C119" s="69">
        <f t="shared" si="13"/>
        <v>4</v>
      </c>
      <c r="D119" s="69">
        <v>118</v>
      </c>
      <c r="E119" s="69" t="str">
        <f>IF(OR(COUNTIF(Feiertage_Hessen_2025!$C$4:$C$13,A119)&gt;0,WEEKDAY(A119,2)=7),"FT",IF(WEEKDAY(A119,2)=6,"SA","WT"))</f>
        <v>WT</v>
      </c>
      <c r="F119" s="69">
        <f>INDEX('BDEW-H25 Tagessummen'!$C$4:$C$39, MATCH(C119&amp;"_"&amp;E119, 'BDEW-H25 Tagessummen'!$D$4:$D$39, 0))</f>
        <v>2554.9519999999998</v>
      </c>
      <c r="G119" s="69">
        <f t="shared" si="10"/>
        <v>0.96010535180800005</v>
      </c>
      <c r="H119" s="69">
        <f>Tabelle1[[#This Row],[Profilwert (kWh)]]*Tabelle1[[#This Row],[Dynamisierungsfaktor]]</f>
        <v>2453.0230888125529</v>
      </c>
      <c r="I119" s="69">
        <f>Annahmen!$B$5*(H119/SUM($H$2:$H$366))</f>
        <v>12.270420535256074</v>
      </c>
      <c r="J119" s="69">
        <f>Annahmen!$B$6</f>
        <v>130</v>
      </c>
      <c r="K119" s="69">
        <f t="shared" si="14"/>
        <v>1595.1546695832897</v>
      </c>
      <c r="L119" s="69">
        <f>I119*Annahmen!$B$7</f>
        <v>8.5892943746792518</v>
      </c>
      <c r="M119" s="69">
        <f>I119*(1-Annahmen!$B$7)</f>
        <v>3.6811261605768228</v>
      </c>
      <c r="N119" s="69">
        <f>Annahmen!$B$8</f>
        <v>78</v>
      </c>
      <c r="O119" s="72">
        <f>INDEX(Quelle_SMARD_Preise_2025!$C$11:$C$375, MATCH($A119,Quelle_SMARD_Preise_2025!$A$11:$A$375, 0))</f>
        <v>75.75</v>
      </c>
      <c r="P119" s="69">
        <f t="shared" si="15"/>
        <v>669.96496122498161</v>
      </c>
      <c r="Q119" s="69">
        <f t="shared" si="16"/>
        <v>278.84530666369432</v>
      </c>
      <c r="R119" s="73">
        <f>Annahmen!$B$9</f>
        <v>0.05</v>
      </c>
      <c r="S119" s="69">
        <f t="shared" si="17"/>
        <v>0.61352102676280373</v>
      </c>
      <c r="T119" s="69">
        <f t="shared" si="18"/>
        <v>0</v>
      </c>
      <c r="U119" s="74">
        <f>$O119+Annahmen!$B$10+(T119*Annahmen!$B$11)</f>
        <v>83.75</v>
      </c>
      <c r="V119" s="74">
        <f t="shared" si="11"/>
        <v>51.382385991384815</v>
      </c>
      <c r="W119" s="74">
        <f t="shared" si="19"/>
        <v>594.96201570322887</v>
      </c>
    </row>
    <row r="120" spans="1:23" x14ac:dyDescent="0.35">
      <c r="A120" s="70">
        <v>45776</v>
      </c>
      <c r="B120" s="71" t="str">
        <f t="shared" si="12"/>
        <v>Di</v>
      </c>
      <c r="C120" s="69">
        <f t="shared" si="13"/>
        <v>4</v>
      </c>
      <c r="D120" s="69">
        <v>119</v>
      </c>
      <c r="E120" s="69" t="str">
        <f>IF(OR(COUNTIF(Feiertage_Hessen_2025!$C$4:$C$13,A120)&gt;0,WEEKDAY(A120,2)=7),"FT",IF(WEEKDAY(A120,2)=6,"SA","WT"))</f>
        <v>WT</v>
      </c>
      <c r="F120" s="69">
        <f>INDEX('BDEW-H25 Tagessummen'!$C$4:$C$39, MATCH(C120&amp;"_"&amp;E120, 'BDEW-H25 Tagessummen'!$D$4:$D$39, 0))</f>
        <v>2554.9519999999998</v>
      </c>
      <c r="G120" s="69">
        <f t="shared" si="10"/>
        <v>0.95643938296800002</v>
      </c>
      <c r="H120" s="69">
        <f>Tabelle1[[#This Row],[Profilwert (kWh)]]*Tabelle1[[#This Row],[Dynamisierungsfaktor]]</f>
        <v>2443.6567143928573</v>
      </c>
      <c r="I120" s="69">
        <f>Annahmen!$B$5*(H120/SUM($H$2:$H$366))</f>
        <v>12.223568406735765</v>
      </c>
      <c r="J120" s="69">
        <f>Annahmen!$B$6</f>
        <v>130</v>
      </c>
      <c r="K120" s="69">
        <f t="shared" si="14"/>
        <v>1589.0638928756496</v>
      </c>
      <c r="L120" s="69">
        <f>I120*Annahmen!$B$7</f>
        <v>8.5564978847150357</v>
      </c>
      <c r="M120" s="69">
        <f>I120*(1-Annahmen!$B$7)</f>
        <v>3.66707052202073</v>
      </c>
      <c r="N120" s="69">
        <f>Annahmen!$B$8</f>
        <v>78</v>
      </c>
      <c r="O120" s="72">
        <f>INDEX(Quelle_SMARD_Preise_2025!$C$11:$C$375, MATCH($A120,Quelle_SMARD_Preise_2025!$A$11:$A$375, 0))</f>
        <v>73.2</v>
      </c>
      <c r="P120" s="69">
        <f t="shared" si="15"/>
        <v>667.40683500777277</v>
      </c>
      <c r="Q120" s="69">
        <f t="shared" si="16"/>
        <v>268.42956221191747</v>
      </c>
      <c r="R120" s="73">
        <f>Annahmen!$B$9</f>
        <v>0.05</v>
      </c>
      <c r="S120" s="69">
        <f t="shared" si="17"/>
        <v>0.61117842033678826</v>
      </c>
      <c r="T120" s="69">
        <f t="shared" si="18"/>
        <v>0</v>
      </c>
      <c r="U120" s="74">
        <f>$O120+Annahmen!$B$10+(T120*Annahmen!$B$11)</f>
        <v>81.2</v>
      </c>
      <c r="V120" s="74">
        <f t="shared" si="11"/>
        <v>49.627687731347208</v>
      </c>
      <c r="W120" s="74">
        <f t="shared" si="19"/>
        <v>603.59980792461204</v>
      </c>
    </row>
    <row r="121" spans="1:23" x14ac:dyDescent="0.35">
      <c r="A121" s="70">
        <v>45777</v>
      </c>
      <c r="B121" s="71" t="str">
        <f t="shared" si="12"/>
        <v>Mi</v>
      </c>
      <c r="C121" s="69">
        <f t="shared" si="13"/>
        <v>4</v>
      </c>
      <c r="D121" s="69">
        <v>120</v>
      </c>
      <c r="E121" s="69" t="str">
        <f>IF(OR(COUNTIF(Feiertage_Hessen_2025!$C$4:$C$13,A121)&gt;0,WEEKDAY(A121,2)=7),"FT",IF(WEEKDAY(A121,2)=6,"SA","WT"))</f>
        <v>WT</v>
      </c>
      <c r="F121" s="69">
        <f>INDEX('BDEW-H25 Tagessummen'!$C$4:$C$39, MATCH(C121&amp;"_"&amp;E121, 'BDEW-H25 Tagessummen'!$D$4:$D$39, 0))</f>
        <v>2554.9519999999998</v>
      </c>
      <c r="G121" s="69">
        <f t="shared" si="10"/>
        <v>0.95279488000000012</v>
      </c>
      <c r="H121" s="69">
        <f>Tabelle1[[#This Row],[Profilwert (kWh)]]*Tabelle1[[#This Row],[Dynamisierungsfaktor]]</f>
        <v>2434.3451842457603</v>
      </c>
      <c r="I121" s="69">
        <f>Annahmen!$B$5*(H121/SUM($H$2:$H$366))</f>
        <v>12.176990618188775</v>
      </c>
      <c r="J121" s="69">
        <f>Annahmen!$B$6</f>
        <v>130</v>
      </c>
      <c r="K121" s="69">
        <f t="shared" si="14"/>
        <v>1583.0087803645408</v>
      </c>
      <c r="L121" s="69">
        <f>I121*Annahmen!$B$7</f>
        <v>8.523893432732141</v>
      </c>
      <c r="M121" s="69">
        <f>I121*(1-Annahmen!$B$7)</f>
        <v>3.653097185456633</v>
      </c>
      <c r="N121" s="69">
        <f>Annahmen!$B$8</f>
        <v>78</v>
      </c>
      <c r="O121" s="72">
        <f>INDEX(Quelle_SMARD_Preise_2025!$C$11:$C$375, MATCH($A121,Quelle_SMARD_Preise_2025!$A$11:$A$375, 0))</f>
        <v>74.959999999999994</v>
      </c>
      <c r="P121" s="69">
        <f t="shared" si="15"/>
        <v>664.863687753107</v>
      </c>
      <c r="Q121" s="69">
        <f t="shared" si="16"/>
        <v>273.83616502182917</v>
      </c>
      <c r="R121" s="73">
        <f>Annahmen!$B$9</f>
        <v>0.05</v>
      </c>
      <c r="S121" s="69">
        <f t="shared" si="17"/>
        <v>0.60884953090943883</v>
      </c>
      <c r="T121" s="69">
        <f t="shared" si="18"/>
        <v>0</v>
      </c>
      <c r="U121" s="74">
        <f>$O121+Annahmen!$B$10+(T121*Annahmen!$B$11)</f>
        <v>82.96</v>
      </c>
      <c r="V121" s="74">
        <f t="shared" si="11"/>
        <v>50.510157084247041</v>
      </c>
      <c r="W121" s="74">
        <f t="shared" si="19"/>
        <v>593.79877050535765</v>
      </c>
    </row>
    <row r="122" spans="1:23" x14ac:dyDescent="0.35">
      <c r="A122" s="70">
        <v>45778</v>
      </c>
      <c r="B122" s="71" t="str">
        <f t="shared" si="12"/>
        <v>Do</v>
      </c>
      <c r="C122" s="69">
        <f t="shared" si="13"/>
        <v>5</v>
      </c>
      <c r="D122" s="69">
        <v>121</v>
      </c>
      <c r="E122" s="69" t="str">
        <f>IF(OR(COUNTIF(Feiertage_Hessen_2025!$C$4:$C$13,A122)&gt;0,WEEKDAY(A122,2)=7),"FT",IF(WEEKDAY(A122,2)=6,"SA","WT"))</f>
        <v>FT</v>
      </c>
      <c r="F122" s="69">
        <f>INDEX('BDEW-H25 Tagessummen'!$C$4:$C$39, MATCH(C122&amp;"_"&amp;E122, 'BDEW-H25 Tagessummen'!$D$4:$D$39, 0))</f>
        <v>3087.4540000000006</v>
      </c>
      <c r="G122" s="69">
        <f t="shared" si="10"/>
        <v>0.94917263864800017</v>
      </c>
      <c r="H122" s="69">
        <f>Tabelle1[[#This Row],[Profilwert (kWh)]]*Tabelle1[[#This Row],[Dynamisierungsfaktor]]</f>
        <v>2930.5268598843231</v>
      </c>
      <c r="I122" s="69">
        <f>Annahmen!$B$5*(H122/SUM($H$2:$H$366))</f>
        <v>14.658972075982723</v>
      </c>
      <c r="J122" s="69">
        <f>Annahmen!$B$6</f>
        <v>130</v>
      </c>
      <c r="K122" s="69">
        <f t="shared" si="14"/>
        <v>1905.6663698777541</v>
      </c>
      <c r="L122" s="69">
        <f>I122*Annahmen!$B$7</f>
        <v>10.261280453187906</v>
      </c>
      <c r="M122" s="69">
        <f>I122*(1-Annahmen!$B$7)</f>
        <v>4.3976916227948175</v>
      </c>
      <c r="N122" s="69">
        <f>Annahmen!$B$8</f>
        <v>78</v>
      </c>
      <c r="O122" s="72">
        <f>INDEX(Quelle_SMARD_Preise_2025!$C$11:$C$375, MATCH($A122,Quelle_SMARD_Preise_2025!$A$11:$A$375, 0))</f>
        <v>44.97</v>
      </c>
      <c r="P122" s="69">
        <f t="shared" si="15"/>
        <v>800.3798753486567</v>
      </c>
      <c r="Q122" s="69">
        <f t="shared" si="16"/>
        <v>197.76419227708294</v>
      </c>
      <c r="R122" s="73">
        <f>Annahmen!$B$9</f>
        <v>0.05</v>
      </c>
      <c r="S122" s="69">
        <f t="shared" si="17"/>
        <v>0.73294860379913618</v>
      </c>
      <c r="T122" s="69">
        <f t="shared" si="18"/>
        <v>0</v>
      </c>
      <c r="U122" s="74">
        <f>$O122+Annahmen!$B$10+(T122*Annahmen!$B$11)</f>
        <v>52.97</v>
      </c>
      <c r="V122" s="74">
        <f t="shared" si="11"/>
        <v>38.824287543240246</v>
      </c>
      <c r="W122" s="74">
        <f t="shared" si="19"/>
        <v>868.69801470877428</v>
      </c>
    </row>
    <row r="123" spans="1:23" x14ac:dyDescent="0.35">
      <c r="A123" s="70">
        <v>45779</v>
      </c>
      <c r="B123" s="71" t="str">
        <f t="shared" si="12"/>
        <v>Fr</v>
      </c>
      <c r="C123" s="69">
        <f t="shared" si="13"/>
        <v>5</v>
      </c>
      <c r="D123" s="69">
        <v>122</v>
      </c>
      <c r="E123" s="69" t="str">
        <f>IF(OR(COUNTIF(Feiertage_Hessen_2025!$C$4:$C$13,A123)&gt;0,WEEKDAY(A123,2)=7),"FT",IF(WEEKDAY(A123,2)=6,"SA","WT"))</f>
        <v>WT</v>
      </c>
      <c r="F123" s="69">
        <f>INDEX('BDEW-H25 Tagessummen'!$C$4:$C$39, MATCH(C123&amp;"_"&amp;E123, 'BDEW-H25 Tagessummen'!$D$4:$D$39, 0))</f>
        <v>2632.0230000000001</v>
      </c>
      <c r="G123" s="69">
        <f t="shared" si="10"/>
        <v>0.94557344524800002</v>
      </c>
      <c r="H123" s="69">
        <f>Tabelle1[[#This Row],[Profilwert (kWh)]]*Tabelle1[[#This Row],[Dynamisierungsfaktor]]</f>
        <v>2488.7710560819769</v>
      </c>
      <c r="I123" s="69">
        <f>Annahmen!$B$5*(H123/SUM($H$2:$H$366))</f>
        <v>12.4492376828308</v>
      </c>
      <c r="J123" s="69">
        <f>Annahmen!$B$6</f>
        <v>130</v>
      </c>
      <c r="K123" s="69">
        <f t="shared" si="14"/>
        <v>1618.400898768004</v>
      </c>
      <c r="L123" s="69">
        <f>I123*Annahmen!$B$7</f>
        <v>8.7144663779815588</v>
      </c>
      <c r="M123" s="69">
        <f>I123*(1-Annahmen!$B$7)</f>
        <v>3.7347713048492404</v>
      </c>
      <c r="N123" s="69">
        <f>Annahmen!$B$8</f>
        <v>78</v>
      </c>
      <c r="O123" s="72">
        <f>INDEX(Quelle_SMARD_Preise_2025!$C$11:$C$375, MATCH($A123,Quelle_SMARD_Preise_2025!$A$11:$A$375, 0))</f>
        <v>62.79</v>
      </c>
      <c r="P123" s="69">
        <f t="shared" si="15"/>
        <v>679.72837748256154</v>
      </c>
      <c r="Q123" s="69">
        <f t="shared" si="16"/>
        <v>234.5062902314838</v>
      </c>
      <c r="R123" s="73">
        <f>Annahmen!$B$9</f>
        <v>0.05</v>
      </c>
      <c r="S123" s="69">
        <f t="shared" si="17"/>
        <v>0.62246188414154002</v>
      </c>
      <c r="T123" s="69">
        <f t="shared" si="18"/>
        <v>0</v>
      </c>
      <c r="U123" s="74">
        <f>$O123+Annahmen!$B$10+(T123*Annahmen!$B$11)</f>
        <v>70.789999999999992</v>
      </c>
      <c r="V123" s="74">
        <f t="shared" si="11"/>
        <v>44.064076778379615</v>
      </c>
      <c r="W123" s="74">
        <f t="shared" si="19"/>
        <v>660.1021542755791</v>
      </c>
    </row>
    <row r="124" spans="1:23" x14ac:dyDescent="0.35">
      <c r="A124" s="70">
        <v>45780</v>
      </c>
      <c r="B124" s="71" t="str">
        <f t="shared" si="12"/>
        <v>Sa</v>
      </c>
      <c r="C124" s="69">
        <f t="shared" si="13"/>
        <v>5</v>
      </c>
      <c r="D124" s="69">
        <v>123</v>
      </c>
      <c r="E124" s="69" t="str">
        <f>IF(OR(COUNTIF(Feiertage_Hessen_2025!$C$4:$C$13,A124)&gt;0,WEEKDAY(A124,2)=7),"FT",IF(WEEKDAY(A124,2)=6,"SA","WT"))</f>
        <v>SA</v>
      </c>
      <c r="F124" s="69">
        <f>INDEX('BDEW-H25 Tagessummen'!$C$4:$C$39, MATCH(C124&amp;"_"&amp;E124, 'BDEW-H25 Tagessummen'!$D$4:$D$39, 0))</f>
        <v>3024.4370000000013</v>
      </c>
      <c r="G124" s="69">
        <f t="shared" si="10"/>
        <v>0.94199807672800007</v>
      </c>
      <c r="H124" s="69">
        <f>Tabelle1[[#This Row],[Profilwert (kWh)]]*Tabelle1[[#This Row],[Dynamisierungsfaktor]]</f>
        <v>2849.0138371850035</v>
      </c>
      <c r="I124" s="69">
        <f>Annahmen!$B$5*(H124/SUM($H$2:$H$366))</f>
        <v>14.25123067632688</v>
      </c>
      <c r="J124" s="69">
        <f>Annahmen!$B$6</f>
        <v>130</v>
      </c>
      <c r="K124" s="69">
        <f t="shared" si="14"/>
        <v>1852.6599879224943</v>
      </c>
      <c r="L124" s="69">
        <f>I124*Annahmen!$B$7</f>
        <v>9.9758614734288162</v>
      </c>
      <c r="M124" s="69">
        <f>I124*(1-Annahmen!$B$7)</f>
        <v>4.275369202898065</v>
      </c>
      <c r="N124" s="69">
        <f>Annahmen!$B$8</f>
        <v>78</v>
      </c>
      <c r="O124" s="72">
        <f>INDEX(Quelle_SMARD_Preise_2025!$C$11:$C$375, MATCH($A124,Quelle_SMARD_Preise_2025!$A$11:$A$375, 0))</f>
        <v>55.08</v>
      </c>
      <c r="P124" s="69">
        <f t="shared" si="15"/>
        <v>778.11719492744771</v>
      </c>
      <c r="Q124" s="69">
        <f t="shared" si="16"/>
        <v>235.4873356956254</v>
      </c>
      <c r="R124" s="73">
        <f>Annahmen!$B$9</f>
        <v>0.05</v>
      </c>
      <c r="S124" s="69">
        <f t="shared" si="17"/>
        <v>0.71256153381634402</v>
      </c>
      <c r="T124" s="69">
        <f t="shared" si="18"/>
        <v>0</v>
      </c>
      <c r="U124" s="74">
        <f>$O124+Annahmen!$B$10+(T124*Annahmen!$B$11)</f>
        <v>63.08</v>
      </c>
      <c r="V124" s="74">
        <f t="shared" si="11"/>
        <v>44.948381553134979</v>
      </c>
      <c r="W124" s="74">
        <f t="shared" si="19"/>
        <v>794.10707574628611</v>
      </c>
    </row>
    <row r="125" spans="1:23" x14ac:dyDescent="0.35">
      <c r="A125" s="70">
        <v>45781</v>
      </c>
      <c r="B125" s="71" t="str">
        <f t="shared" si="12"/>
        <v>So</v>
      </c>
      <c r="C125" s="69">
        <f t="shared" si="13"/>
        <v>5</v>
      </c>
      <c r="D125" s="69">
        <v>124</v>
      </c>
      <c r="E125" s="69" t="str">
        <f>IF(OR(COUNTIF(Feiertage_Hessen_2025!$C$4:$C$13,A125)&gt;0,WEEKDAY(A125,2)=7),"FT",IF(WEEKDAY(A125,2)=6,"SA","WT"))</f>
        <v>FT</v>
      </c>
      <c r="F125" s="69">
        <f>INDEX('BDEW-H25 Tagessummen'!$C$4:$C$39, MATCH(C125&amp;"_"&amp;E125, 'BDEW-H25 Tagessummen'!$D$4:$D$39, 0))</f>
        <v>3087.4540000000006</v>
      </c>
      <c r="G125" s="69">
        <f t="shared" si="10"/>
        <v>0.93844730060800008</v>
      </c>
      <c r="H125" s="69">
        <f>Tabelle1[[#This Row],[Profilwert (kWh)]]*Tabelle1[[#This Row],[Dynamisierungsfaktor]]</f>
        <v>2897.4128720513727</v>
      </c>
      <c r="I125" s="69">
        <f>Annahmen!$B$5*(H125/SUM($H$2:$H$366))</f>
        <v>14.49333052203129</v>
      </c>
      <c r="J125" s="69">
        <f>Annahmen!$B$6</f>
        <v>130</v>
      </c>
      <c r="K125" s="69">
        <f t="shared" si="14"/>
        <v>1884.1329678640677</v>
      </c>
      <c r="L125" s="69">
        <f>I125*Annahmen!$B$7</f>
        <v>10.145331365421901</v>
      </c>
      <c r="M125" s="69">
        <f>I125*(1-Annahmen!$B$7)</f>
        <v>4.3479991566093874</v>
      </c>
      <c r="N125" s="69">
        <f>Annahmen!$B$8</f>
        <v>78</v>
      </c>
      <c r="O125" s="72">
        <f>INDEX(Quelle_SMARD_Preise_2025!$C$11:$C$375, MATCH($A125,Quelle_SMARD_Preise_2025!$A$11:$A$375, 0))</f>
        <v>33.54</v>
      </c>
      <c r="P125" s="69">
        <f t="shared" si="15"/>
        <v>791.33584650290834</v>
      </c>
      <c r="Q125" s="69">
        <f t="shared" si="16"/>
        <v>145.83189171267884</v>
      </c>
      <c r="R125" s="73">
        <f>Annahmen!$B$9</f>
        <v>0.05</v>
      </c>
      <c r="S125" s="69">
        <f t="shared" si="17"/>
        <v>0.72466652610156457</v>
      </c>
      <c r="T125" s="69">
        <f t="shared" si="18"/>
        <v>0</v>
      </c>
      <c r="U125" s="74">
        <f>$O125+Annahmen!$B$10+(T125*Annahmen!$B$11)</f>
        <v>41.54</v>
      </c>
      <c r="V125" s="74">
        <f t="shared" si="11"/>
        <v>30.102647494258992</v>
      </c>
      <c r="W125" s="74">
        <f t="shared" si="19"/>
        <v>916.86258215422163</v>
      </c>
    </row>
    <row r="126" spans="1:23" x14ac:dyDescent="0.35">
      <c r="A126" s="70">
        <v>45782</v>
      </c>
      <c r="B126" s="71" t="str">
        <f t="shared" si="12"/>
        <v>Mo</v>
      </c>
      <c r="C126" s="69">
        <f t="shared" si="13"/>
        <v>5</v>
      </c>
      <c r="D126" s="69">
        <v>125</v>
      </c>
      <c r="E126" s="69" t="str">
        <f>IF(OR(COUNTIF(Feiertage_Hessen_2025!$C$4:$C$13,A126)&gt;0,WEEKDAY(A126,2)=7),"FT",IF(WEEKDAY(A126,2)=6,"SA","WT"))</f>
        <v>WT</v>
      </c>
      <c r="F126" s="69">
        <f>INDEX('BDEW-H25 Tagessummen'!$C$4:$C$39, MATCH(C126&amp;"_"&amp;E126, 'BDEW-H25 Tagessummen'!$D$4:$D$39, 0))</f>
        <v>2632.0230000000001</v>
      </c>
      <c r="G126" s="69">
        <f t="shared" si="10"/>
        <v>0.9349218749999999</v>
      </c>
      <c r="H126" s="69">
        <f>Tabelle1[[#This Row],[Profilwert (kWh)]]*Tabelle1[[#This Row],[Dynamisierungsfaktor]]</f>
        <v>2460.7358782031247</v>
      </c>
      <c r="I126" s="69">
        <f>Annahmen!$B$5*(H126/SUM($H$2:$H$366))</f>
        <v>12.309001162464108</v>
      </c>
      <c r="J126" s="69">
        <f>Annahmen!$B$6</f>
        <v>130</v>
      </c>
      <c r="K126" s="69">
        <f t="shared" si="14"/>
        <v>1600.1701511203341</v>
      </c>
      <c r="L126" s="69">
        <f>I126*Annahmen!$B$7</f>
        <v>8.6163008137248749</v>
      </c>
      <c r="M126" s="69">
        <f>I126*(1-Annahmen!$B$7)</f>
        <v>3.6927003487392329</v>
      </c>
      <c r="N126" s="69">
        <f>Annahmen!$B$8</f>
        <v>78</v>
      </c>
      <c r="O126" s="72">
        <f>INDEX(Quelle_SMARD_Preise_2025!$C$11:$C$375, MATCH($A126,Quelle_SMARD_Preise_2025!$A$11:$A$375, 0))</f>
        <v>87.4</v>
      </c>
      <c r="P126" s="69">
        <f t="shared" si="15"/>
        <v>672.07146347054027</v>
      </c>
      <c r="Q126" s="69">
        <f t="shared" si="16"/>
        <v>322.74201047980898</v>
      </c>
      <c r="R126" s="73">
        <f>Annahmen!$B$9</f>
        <v>0.05</v>
      </c>
      <c r="S126" s="69">
        <f t="shared" si="17"/>
        <v>0.61545005812320541</v>
      </c>
      <c r="T126" s="69">
        <f t="shared" si="18"/>
        <v>0</v>
      </c>
      <c r="U126" s="74">
        <f>$O126+Annahmen!$B$10+(T126*Annahmen!$B$11)</f>
        <v>95.4</v>
      </c>
      <c r="V126" s="74">
        <f t="shared" si="11"/>
        <v>58.713935544953799</v>
      </c>
      <c r="W126" s="74">
        <f t="shared" si="19"/>
        <v>546.64274162503114</v>
      </c>
    </row>
    <row r="127" spans="1:23" x14ac:dyDescent="0.35">
      <c r="A127" s="70">
        <v>45783</v>
      </c>
      <c r="B127" s="71" t="str">
        <f t="shared" si="12"/>
        <v>Di</v>
      </c>
      <c r="C127" s="69">
        <f t="shared" si="13"/>
        <v>5</v>
      </c>
      <c r="D127" s="69">
        <v>126</v>
      </c>
      <c r="E127" s="69" t="str">
        <f>IF(OR(COUNTIF(Feiertage_Hessen_2025!$C$4:$C$13,A127)&gt;0,WEEKDAY(A127,2)=7),"FT",IF(WEEKDAY(A127,2)=6,"SA","WT"))</f>
        <v>WT</v>
      </c>
      <c r="F127" s="69">
        <f>INDEX('BDEW-H25 Tagessummen'!$C$4:$C$39, MATCH(C127&amp;"_"&amp;E127, 'BDEW-H25 Tagessummen'!$D$4:$D$39, 0))</f>
        <v>2632.0230000000001</v>
      </c>
      <c r="G127" s="69">
        <f t="shared" si="10"/>
        <v>0.93142254860800011</v>
      </c>
      <c r="H127" s="69">
        <f>Tabelle1[[#This Row],[Profilwert (kWh)]]*Tabelle1[[#This Row],[Dynamisierungsfaktor]]</f>
        <v>2451.5255706548746</v>
      </c>
      <c r="I127" s="69">
        <f>Annahmen!$B$5*(H127/SUM($H$2:$H$366))</f>
        <v>12.262929705822915</v>
      </c>
      <c r="J127" s="69">
        <f>Annahmen!$B$6</f>
        <v>130</v>
      </c>
      <c r="K127" s="69">
        <f t="shared" si="14"/>
        <v>1594.1808617569789</v>
      </c>
      <c r="L127" s="69">
        <f>I127*Annahmen!$B$7</f>
        <v>8.58405079407604</v>
      </c>
      <c r="M127" s="69">
        <f>I127*(1-Annahmen!$B$7)</f>
        <v>3.678878911746875</v>
      </c>
      <c r="N127" s="69">
        <f>Annahmen!$B$8</f>
        <v>78</v>
      </c>
      <c r="O127" s="72">
        <f>INDEX(Quelle_SMARD_Preise_2025!$C$11:$C$375, MATCH($A127,Quelle_SMARD_Preise_2025!$A$11:$A$375, 0))</f>
        <v>90.96</v>
      </c>
      <c r="P127" s="69">
        <f t="shared" si="15"/>
        <v>669.5559619379311</v>
      </c>
      <c r="Q127" s="69">
        <f t="shared" si="16"/>
        <v>334.63082581249574</v>
      </c>
      <c r="R127" s="73">
        <f>Annahmen!$B$9</f>
        <v>0.05</v>
      </c>
      <c r="S127" s="69">
        <f t="shared" si="17"/>
        <v>0.61314648529114579</v>
      </c>
      <c r="T127" s="69">
        <f t="shared" si="18"/>
        <v>0</v>
      </c>
      <c r="U127" s="74">
        <f>$O127+Annahmen!$B$10+(T127*Annahmen!$B$11)</f>
        <v>98.96</v>
      </c>
      <c r="V127" s="74">
        <f t="shared" si="11"/>
        <v>60.676976184411785</v>
      </c>
      <c r="W127" s="74">
        <f t="shared" si="19"/>
        <v>529.31709782214011</v>
      </c>
    </row>
    <row r="128" spans="1:23" x14ac:dyDescent="0.35">
      <c r="A128" s="70">
        <v>45784</v>
      </c>
      <c r="B128" s="71" t="str">
        <f t="shared" si="12"/>
        <v>Mi</v>
      </c>
      <c r="C128" s="69">
        <f t="shared" si="13"/>
        <v>5</v>
      </c>
      <c r="D128" s="69">
        <v>127</v>
      </c>
      <c r="E128" s="69" t="str">
        <f>IF(OR(COUNTIF(Feiertage_Hessen_2025!$C$4:$C$13,A128)&gt;0,WEEKDAY(A128,2)=7),"FT",IF(WEEKDAY(A128,2)=6,"SA","WT"))</f>
        <v>WT</v>
      </c>
      <c r="F128" s="69">
        <f>INDEX('BDEW-H25 Tagessummen'!$C$4:$C$39, MATCH(C128&amp;"_"&amp;E128, 'BDEW-H25 Tagessummen'!$D$4:$D$39, 0))</f>
        <v>2632.0230000000001</v>
      </c>
      <c r="G128" s="69">
        <f t="shared" si="10"/>
        <v>0.92795006072800001</v>
      </c>
      <c r="H128" s="69">
        <f>Tabelle1[[#This Row],[Profilwert (kWh)]]*Tabelle1[[#This Row],[Dynamisierungsfaktor]]</f>
        <v>2442.3859026874929</v>
      </c>
      <c r="I128" s="69">
        <f>Annahmen!$B$5*(H128/SUM($H$2:$H$366))</f>
        <v>12.217211599856505</v>
      </c>
      <c r="J128" s="69">
        <f>Annahmen!$B$6</f>
        <v>130</v>
      </c>
      <c r="K128" s="69">
        <f t="shared" si="14"/>
        <v>1588.2375079813455</v>
      </c>
      <c r="L128" s="69">
        <f>I128*Annahmen!$B$7</f>
        <v>8.5520481198995526</v>
      </c>
      <c r="M128" s="69">
        <f>I128*(1-Annahmen!$B$7)</f>
        <v>3.6651634799569521</v>
      </c>
      <c r="N128" s="69">
        <f>Annahmen!$B$8</f>
        <v>78</v>
      </c>
      <c r="O128" s="72">
        <f>INDEX(Quelle_SMARD_Preise_2025!$C$11:$C$375, MATCH($A128,Quelle_SMARD_Preise_2025!$A$11:$A$375, 0))</f>
        <v>98.93</v>
      </c>
      <c r="P128" s="69">
        <f t="shared" si="15"/>
        <v>667.0597533521651</v>
      </c>
      <c r="Q128" s="69">
        <f t="shared" si="16"/>
        <v>362.5946230721413</v>
      </c>
      <c r="R128" s="73">
        <f>Annahmen!$B$9</f>
        <v>0.05</v>
      </c>
      <c r="S128" s="69">
        <f t="shared" si="17"/>
        <v>0.61086057999282528</v>
      </c>
      <c r="T128" s="69">
        <f t="shared" si="18"/>
        <v>0</v>
      </c>
      <c r="U128" s="74">
        <f>$O128+Annahmen!$B$10+(T128*Annahmen!$B$11)</f>
        <v>106.93</v>
      </c>
      <c r="V128" s="74">
        <f t="shared" si="11"/>
        <v>65.319321818632815</v>
      </c>
      <c r="W128" s="74">
        <f t="shared" si="19"/>
        <v>493.26380973840628</v>
      </c>
    </row>
    <row r="129" spans="1:23" x14ac:dyDescent="0.35">
      <c r="A129" s="70">
        <v>45785</v>
      </c>
      <c r="B129" s="71" t="str">
        <f t="shared" si="12"/>
        <v>Do</v>
      </c>
      <c r="C129" s="69">
        <f t="shared" si="13"/>
        <v>5</v>
      </c>
      <c r="D129" s="69">
        <v>128</v>
      </c>
      <c r="E129" s="69" t="str">
        <f>IF(OR(COUNTIF(Feiertage_Hessen_2025!$C$4:$C$13,A129)&gt;0,WEEKDAY(A129,2)=7),"FT",IF(WEEKDAY(A129,2)=6,"SA","WT"))</f>
        <v>WT</v>
      </c>
      <c r="F129" s="69">
        <f>INDEX('BDEW-H25 Tagessummen'!$C$4:$C$39, MATCH(C129&amp;"_"&amp;E129, 'BDEW-H25 Tagessummen'!$D$4:$D$39, 0))</f>
        <v>2632.0230000000001</v>
      </c>
      <c r="G129" s="69">
        <f t="shared" si="10"/>
        <v>0.9245051412480001</v>
      </c>
      <c r="H129" s="69">
        <f>Tabelle1[[#This Row],[Profilwert (kWh)]]*Tabelle1[[#This Row],[Dynamisierungsfaktor]]</f>
        <v>2433.3187953829852</v>
      </c>
      <c r="I129" s="69">
        <f>Annahmen!$B$5*(H129/SUM($H$2:$H$366))</f>
        <v>12.17185645412958</v>
      </c>
      <c r="J129" s="69">
        <f>Annahmen!$B$6</f>
        <v>130</v>
      </c>
      <c r="K129" s="69">
        <f t="shared" si="14"/>
        <v>1582.3413390368455</v>
      </c>
      <c r="L129" s="69">
        <f>I129*Annahmen!$B$7</f>
        <v>8.5202995178907059</v>
      </c>
      <c r="M129" s="69">
        <f>I129*(1-Annahmen!$B$7)</f>
        <v>3.6515569362388747</v>
      </c>
      <c r="N129" s="69">
        <f>Annahmen!$B$8</f>
        <v>78</v>
      </c>
      <c r="O129" s="72">
        <f>INDEX(Quelle_SMARD_Preise_2025!$C$11:$C$375, MATCH($A129,Quelle_SMARD_Preise_2025!$A$11:$A$375, 0))</f>
        <v>103.18</v>
      </c>
      <c r="P129" s="69">
        <f t="shared" si="15"/>
        <v>664.58336239547509</v>
      </c>
      <c r="Q129" s="69">
        <f t="shared" si="16"/>
        <v>376.76764468112714</v>
      </c>
      <c r="R129" s="73">
        <f>Annahmen!$B$9</f>
        <v>0.05</v>
      </c>
      <c r="S129" s="69">
        <f t="shared" si="17"/>
        <v>0.60859282270647908</v>
      </c>
      <c r="T129" s="69">
        <f t="shared" si="18"/>
        <v>0</v>
      </c>
      <c r="U129" s="74">
        <f>$O129+Annahmen!$B$10+(T129*Annahmen!$B$11)</f>
        <v>111.18</v>
      </c>
      <c r="V129" s="74">
        <f t="shared" si="11"/>
        <v>67.663350028506343</v>
      </c>
      <c r="W129" s="74">
        <f t="shared" si="19"/>
        <v>473.32698193173701</v>
      </c>
    </row>
    <row r="130" spans="1:23" x14ac:dyDescent="0.35">
      <c r="A130" s="70">
        <v>45786</v>
      </c>
      <c r="B130" s="71" t="str">
        <f t="shared" si="12"/>
        <v>Fr</v>
      </c>
      <c r="C130" s="69">
        <f t="shared" si="13"/>
        <v>5</v>
      </c>
      <c r="D130" s="69">
        <v>129</v>
      </c>
      <c r="E130" s="69" t="str">
        <f>IF(OR(COUNTIF(Feiertage_Hessen_2025!$C$4:$C$13,A130)&gt;0,WEEKDAY(A130,2)=7),"FT",IF(WEEKDAY(A130,2)=6,"SA","WT"))</f>
        <v>WT</v>
      </c>
      <c r="F130" s="69">
        <f>INDEX('BDEW-H25 Tagessummen'!$C$4:$C$39, MATCH(C130&amp;"_"&amp;E130, 'BDEW-H25 Tagessummen'!$D$4:$D$39, 0))</f>
        <v>2632.0230000000001</v>
      </c>
      <c r="G130" s="69">
        <f t="shared" ref="G130:G193" si="20">-3.92*10^-10*D130^4+3.2*10^-7*D130^3-7.02*10^-5*D130^2+2.1*10^-3*D130+1.24</f>
        <v>0.92108851064800001</v>
      </c>
      <c r="H130" s="69">
        <f>Tabelle1[[#This Row],[Profilwert (kWh)]]*Tabelle1[[#This Row],[Dynamisierungsfaktor]]</f>
        <v>2424.3261450612813</v>
      </c>
      <c r="I130" s="69">
        <f>Annahmen!$B$5*(H130/SUM($H$2:$H$366))</f>
        <v>12.126873754342915</v>
      </c>
      <c r="J130" s="69">
        <f>Annahmen!$B$6</f>
        <v>130</v>
      </c>
      <c r="K130" s="69">
        <f t="shared" si="14"/>
        <v>1576.4935880645789</v>
      </c>
      <c r="L130" s="69">
        <f>I130*Annahmen!$B$7</f>
        <v>8.4888116280400396</v>
      </c>
      <c r="M130" s="69">
        <f>I130*(1-Annahmen!$B$7)</f>
        <v>3.638062126302875</v>
      </c>
      <c r="N130" s="69">
        <f>Annahmen!$B$8</f>
        <v>78</v>
      </c>
      <c r="O130" s="72">
        <f>INDEX(Quelle_SMARD_Preise_2025!$C$11:$C$375, MATCH($A130,Quelle_SMARD_Preise_2025!$A$11:$A$375, 0))</f>
        <v>81.11</v>
      </c>
      <c r="P130" s="69">
        <f t="shared" si="15"/>
        <v>662.12730698712312</v>
      </c>
      <c r="Q130" s="69">
        <f t="shared" si="16"/>
        <v>295.0832190644262</v>
      </c>
      <c r="R130" s="73">
        <f>Annahmen!$B$9</f>
        <v>0.05</v>
      </c>
      <c r="S130" s="69">
        <f t="shared" si="17"/>
        <v>0.60634368771714575</v>
      </c>
      <c r="T130" s="69">
        <f t="shared" si="18"/>
        <v>0</v>
      </c>
      <c r="U130" s="74">
        <f>$O130+Annahmen!$B$10+(T130*Annahmen!$B$11)</f>
        <v>89.11</v>
      </c>
      <c r="V130" s="74">
        <f t="shared" ref="V130:V193" si="21">ABS(S130)*U130</f>
        <v>54.031286012474858</v>
      </c>
      <c r="W130" s="74">
        <f t="shared" si="19"/>
        <v>565.25177600055474</v>
      </c>
    </row>
    <row r="131" spans="1:23" x14ac:dyDescent="0.35">
      <c r="A131" s="70">
        <v>45787</v>
      </c>
      <c r="B131" s="71" t="str">
        <f t="shared" ref="B131:B194" si="22">TEXT(A131,"TTT")</f>
        <v>Sa</v>
      </c>
      <c r="C131" s="69">
        <f t="shared" ref="C131:C194" si="23">MONTH(A131)</f>
        <v>5</v>
      </c>
      <c r="D131" s="69">
        <v>130</v>
      </c>
      <c r="E131" s="69" t="str">
        <f>IF(OR(COUNTIF(Feiertage_Hessen_2025!$C$4:$C$13,A131)&gt;0,WEEKDAY(A131,2)=7),"FT",IF(WEEKDAY(A131,2)=6,"SA","WT"))</f>
        <v>SA</v>
      </c>
      <c r="F131" s="69">
        <f>INDEX('BDEW-H25 Tagessummen'!$C$4:$C$39, MATCH(C131&amp;"_"&amp;E131, 'BDEW-H25 Tagessummen'!$D$4:$D$39, 0))</f>
        <v>3024.4370000000013</v>
      </c>
      <c r="G131" s="69">
        <f t="shared" si="20"/>
        <v>0.91770088000000005</v>
      </c>
      <c r="H131" s="69">
        <f>Tabelle1[[#This Row],[Profilwert (kWh)]]*Tabelle1[[#This Row],[Dynamisierungsfaktor]]</f>
        <v>2775.5284964045613</v>
      </c>
      <c r="I131" s="69">
        <f>Annahmen!$B$5*(H131/SUM($H$2:$H$366))</f>
        <v>13.883645047530733</v>
      </c>
      <c r="J131" s="69">
        <f>Annahmen!$B$6</f>
        <v>130</v>
      </c>
      <c r="K131" s="69">
        <f t="shared" ref="K131:K194" si="24">I131*J131</f>
        <v>1804.8738561789953</v>
      </c>
      <c r="L131" s="69">
        <f>I131*Annahmen!$B$7</f>
        <v>9.718551533271512</v>
      </c>
      <c r="M131" s="69">
        <f>I131*(1-Annahmen!$B$7)</f>
        <v>4.1650935142592207</v>
      </c>
      <c r="N131" s="69">
        <f>Annahmen!$B$8</f>
        <v>78</v>
      </c>
      <c r="O131" s="72">
        <f>INDEX(Quelle_SMARD_Preise_2025!$C$11:$C$375, MATCH($A131,Quelle_SMARD_Preise_2025!$A$11:$A$375, 0))</f>
        <v>52.3</v>
      </c>
      <c r="P131" s="69">
        <f t="shared" ref="P131:P194" si="25">L131*N131</f>
        <v>758.04701959517797</v>
      </c>
      <c r="Q131" s="69">
        <f t="shared" ref="Q131:Q194" si="26">M131*O131</f>
        <v>217.83439079575723</v>
      </c>
      <c r="R131" s="73">
        <f>Annahmen!$B$9</f>
        <v>0.05</v>
      </c>
      <c r="S131" s="69">
        <f t="shared" ref="S131:S194" si="27">R131*I131</f>
        <v>0.69418225237653663</v>
      </c>
      <c r="T131" s="69">
        <f t="shared" ref="T131:T194" si="28">IF(OR(I131&gt;=PERCENTILE($I$2:$I$366,0.95),I131&lt;=PERCENTILE($I$2:$I$366,0.05)),1,0)</f>
        <v>0</v>
      </c>
      <c r="U131" s="74">
        <f>$O131+Annahmen!$B$10+(T131*Annahmen!$B$11)</f>
        <v>60.3</v>
      </c>
      <c r="V131" s="74">
        <f t="shared" si="21"/>
        <v>41.859189818305154</v>
      </c>
      <c r="W131" s="74">
        <f t="shared" ref="W131:W194" si="29">K131-P131-Q131-V131</f>
        <v>787.13325596975494</v>
      </c>
    </row>
    <row r="132" spans="1:23" x14ac:dyDescent="0.35">
      <c r="A132" s="70">
        <v>45788</v>
      </c>
      <c r="B132" s="71" t="str">
        <f t="shared" si="22"/>
        <v>So</v>
      </c>
      <c r="C132" s="69">
        <f t="shared" si="23"/>
        <v>5</v>
      </c>
      <c r="D132" s="69">
        <v>131</v>
      </c>
      <c r="E132" s="69" t="str">
        <f>IF(OR(COUNTIF(Feiertage_Hessen_2025!$C$4:$C$13,A132)&gt;0,WEEKDAY(A132,2)=7),"FT",IF(WEEKDAY(A132,2)=6,"SA","WT"))</f>
        <v>FT</v>
      </c>
      <c r="F132" s="69">
        <f>INDEX('BDEW-H25 Tagessummen'!$C$4:$C$39, MATCH(C132&amp;"_"&amp;E132, 'BDEW-H25 Tagessummen'!$D$4:$D$39, 0))</f>
        <v>3087.4540000000006</v>
      </c>
      <c r="G132" s="69">
        <f t="shared" si="20"/>
        <v>0.91434295096800011</v>
      </c>
      <c r="H132" s="69">
        <f>Tabelle1[[#This Row],[Profilwert (kWh)]]*Tabelle1[[#This Row],[Dynamisierungsfaktor]]</f>
        <v>2822.9918013379565</v>
      </c>
      <c r="I132" s="69">
        <f>Annahmen!$B$5*(H132/SUM($H$2:$H$366))</f>
        <v>14.121064219890737</v>
      </c>
      <c r="J132" s="69">
        <f>Annahmen!$B$6</f>
        <v>130</v>
      </c>
      <c r="K132" s="69">
        <f t="shared" si="24"/>
        <v>1835.7383485857958</v>
      </c>
      <c r="L132" s="69">
        <f>I132*Annahmen!$B$7</f>
        <v>9.8847449539235157</v>
      </c>
      <c r="M132" s="69">
        <f>I132*(1-Annahmen!$B$7)</f>
        <v>4.2363192659672215</v>
      </c>
      <c r="N132" s="69">
        <f>Annahmen!$B$8</f>
        <v>78</v>
      </c>
      <c r="O132" s="72">
        <f>INDEX(Quelle_SMARD_Preise_2025!$C$11:$C$375, MATCH($A132,Quelle_SMARD_Preise_2025!$A$11:$A$375, 0))</f>
        <v>19.41</v>
      </c>
      <c r="P132" s="69">
        <f t="shared" si="25"/>
        <v>771.0101064060342</v>
      </c>
      <c r="Q132" s="69">
        <f t="shared" si="26"/>
        <v>82.226956952423777</v>
      </c>
      <c r="R132" s="73">
        <f>Annahmen!$B$9</f>
        <v>0.05</v>
      </c>
      <c r="S132" s="69">
        <f t="shared" si="27"/>
        <v>0.70605321099453688</v>
      </c>
      <c r="T132" s="69">
        <f t="shared" si="28"/>
        <v>0</v>
      </c>
      <c r="U132" s="74">
        <f>$O132+Annahmen!$B$10+(T132*Annahmen!$B$11)</f>
        <v>27.41</v>
      </c>
      <c r="V132" s="74">
        <f t="shared" si="21"/>
        <v>19.352918513360255</v>
      </c>
      <c r="W132" s="74">
        <f t="shared" si="29"/>
        <v>963.14836671397779</v>
      </c>
    </row>
    <row r="133" spans="1:23" x14ac:dyDescent="0.35">
      <c r="A133" s="70">
        <v>45789</v>
      </c>
      <c r="B133" s="71" t="str">
        <f t="shared" si="22"/>
        <v>Mo</v>
      </c>
      <c r="C133" s="69">
        <f t="shared" si="23"/>
        <v>5</v>
      </c>
      <c r="D133" s="69">
        <v>132</v>
      </c>
      <c r="E133" s="69" t="str">
        <f>IF(OR(COUNTIF(Feiertage_Hessen_2025!$C$4:$C$13,A133)&gt;0,WEEKDAY(A133,2)=7),"FT",IF(WEEKDAY(A133,2)=6,"SA","WT"))</f>
        <v>WT</v>
      </c>
      <c r="F133" s="69">
        <f>INDEX('BDEW-H25 Tagessummen'!$C$4:$C$39, MATCH(C133&amp;"_"&amp;E133, 'BDEW-H25 Tagessummen'!$D$4:$D$39, 0))</f>
        <v>2632.0230000000001</v>
      </c>
      <c r="G133" s="69">
        <f t="shared" si="20"/>
        <v>0.91101541580800016</v>
      </c>
      <c r="H133" s="69">
        <f>Tabelle1[[#This Row],[Profilwert (kWh)]]*Tabelle1[[#This Row],[Dynamisierungsfaktor]]</f>
        <v>2397.81352776122</v>
      </c>
      <c r="I133" s="69">
        <f>Annahmen!$B$5*(H133/SUM($H$2:$H$366))</f>
        <v>11.99425332967356</v>
      </c>
      <c r="J133" s="69">
        <f>Annahmen!$B$6</f>
        <v>130</v>
      </c>
      <c r="K133" s="69">
        <f t="shared" si="24"/>
        <v>1559.2529328575629</v>
      </c>
      <c r="L133" s="69">
        <f>I133*Annahmen!$B$7</f>
        <v>8.3959773307714922</v>
      </c>
      <c r="M133" s="69">
        <f>I133*(1-Annahmen!$B$7)</f>
        <v>3.5982759989020687</v>
      </c>
      <c r="N133" s="69">
        <f>Annahmen!$B$8</f>
        <v>78</v>
      </c>
      <c r="O133" s="72">
        <f>INDEX(Quelle_SMARD_Preise_2025!$C$11:$C$375, MATCH($A133,Quelle_SMARD_Preise_2025!$A$11:$A$375, 0))</f>
        <v>69.61</v>
      </c>
      <c r="P133" s="69">
        <f t="shared" si="25"/>
        <v>654.88623180017635</v>
      </c>
      <c r="Q133" s="69">
        <f t="shared" si="26"/>
        <v>250.47599228357299</v>
      </c>
      <c r="R133" s="73">
        <f>Annahmen!$B$9</f>
        <v>0.05</v>
      </c>
      <c r="S133" s="69">
        <f t="shared" si="27"/>
        <v>0.59971266648367805</v>
      </c>
      <c r="T133" s="69">
        <f t="shared" si="28"/>
        <v>0</v>
      </c>
      <c r="U133" s="74">
        <f>$O133+Annahmen!$B$10+(T133*Annahmen!$B$11)</f>
        <v>77.61</v>
      </c>
      <c r="V133" s="74">
        <f t="shared" si="21"/>
        <v>46.543700045798253</v>
      </c>
      <c r="W133" s="74">
        <f t="shared" si="29"/>
        <v>607.34700872801534</v>
      </c>
    </row>
    <row r="134" spans="1:23" x14ac:dyDescent="0.35">
      <c r="A134" s="70">
        <v>45790</v>
      </c>
      <c r="B134" s="71" t="str">
        <f t="shared" si="22"/>
        <v>Di</v>
      </c>
      <c r="C134" s="69">
        <f t="shared" si="23"/>
        <v>5</v>
      </c>
      <c r="D134" s="69">
        <v>133</v>
      </c>
      <c r="E134" s="69" t="str">
        <f>IF(OR(COUNTIF(Feiertage_Hessen_2025!$C$4:$C$13,A134)&gt;0,WEEKDAY(A134,2)=7),"FT",IF(WEEKDAY(A134,2)=6,"SA","WT"))</f>
        <v>WT</v>
      </c>
      <c r="F134" s="69">
        <f>INDEX('BDEW-H25 Tagessummen'!$C$4:$C$39, MATCH(C134&amp;"_"&amp;E134, 'BDEW-H25 Tagessummen'!$D$4:$D$39, 0))</f>
        <v>2632.0230000000001</v>
      </c>
      <c r="G134" s="69">
        <f t="shared" si="20"/>
        <v>0.90771895736800001</v>
      </c>
      <c r="H134" s="69">
        <f>Tabelle1[[#This Row],[Profilwert (kWh)]]*Tabelle1[[#This Row],[Dynamisierungsfaktor]]</f>
        <v>2389.1371733285955</v>
      </c>
      <c r="I134" s="69">
        <f>Annahmen!$B$5*(H134/SUM($H$2:$H$366))</f>
        <v>11.950852793377438</v>
      </c>
      <c r="J134" s="69">
        <f>Annahmen!$B$6</f>
        <v>130</v>
      </c>
      <c r="K134" s="69">
        <f t="shared" si="24"/>
        <v>1553.6108631390669</v>
      </c>
      <c r="L134" s="69">
        <f>I134*Annahmen!$B$7</f>
        <v>8.3655969553642056</v>
      </c>
      <c r="M134" s="69">
        <f>I134*(1-Annahmen!$B$7)</f>
        <v>3.5852558380132318</v>
      </c>
      <c r="N134" s="69">
        <f>Annahmen!$B$8</f>
        <v>78</v>
      </c>
      <c r="O134" s="72">
        <f>INDEX(Quelle_SMARD_Preise_2025!$C$11:$C$375, MATCH($A134,Quelle_SMARD_Preise_2025!$A$11:$A$375, 0))</f>
        <v>79.5</v>
      </c>
      <c r="P134" s="69">
        <f t="shared" si="25"/>
        <v>652.51656251840802</v>
      </c>
      <c r="Q134" s="69">
        <f t="shared" si="26"/>
        <v>285.02783912205194</v>
      </c>
      <c r="R134" s="73">
        <f>Annahmen!$B$9</f>
        <v>0.05</v>
      </c>
      <c r="S134" s="69">
        <f t="shared" si="27"/>
        <v>0.59754263966887189</v>
      </c>
      <c r="T134" s="69">
        <f t="shared" si="28"/>
        <v>0</v>
      </c>
      <c r="U134" s="74">
        <f>$O134+Annahmen!$B$10+(T134*Annahmen!$B$11)</f>
        <v>87.5</v>
      </c>
      <c r="V134" s="74">
        <f t="shared" si="21"/>
        <v>52.284980971026293</v>
      </c>
      <c r="W134" s="74">
        <f t="shared" si="29"/>
        <v>563.7814805275807</v>
      </c>
    </row>
    <row r="135" spans="1:23" x14ac:dyDescent="0.35">
      <c r="A135" s="70">
        <v>45791</v>
      </c>
      <c r="B135" s="71" t="str">
        <f t="shared" si="22"/>
        <v>Mi</v>
      </c>
      <c r="C135" s="69">
        <f t="shared" si="23"/>
        <v>5</v>
      </c>
      <c r="D135" s="69">
        <v>134</v>
      </c>
      <c r="E135" s="69" t="str">
        <f>IF(OR(COUNTIF(Feiertage_Hessen_2025!$C$4:$C$13,A135)&gt;0,WEEKDAY(A135,2)=7),"FT",IF(WEEKDAY(A135,2)=6,"SA","WT"))</f>
        <v>WT</v>
      </c>
      <c r="F135" s="69">
        <f>INDEX('BDEW-H25 Tagessummen'!$C$4:$C$39, MATCH(C135&amp;"_"&amp;E135, 'BDEW-H25 Tagessummen'!$D$4:$D$39, 0))</f>
        <v>2632.0230000000001</v>
      </c>
      <c r="G135" s="69">
        <f t="shared" si="20"/>
        <v>0.90445424908799987</v>
      </c>
      <c r="H135" s="69">
        <f>Tabelle1[[#This Row],[Profilwert (kWh)]]*Tabelle1[[#This Row],[Dynamisierungsfaktor]]</f>
        <v>2380.5443860473447</v>
      </c>
      <c r="I135" s="69">
        <f>Annahmen!$B$5*(H135/SUM($H$2:$H$366))</f>
        <v>11.907870273566756</v>
      </c>
      <c r="J135" s="69">
        <f>Annahmen!$B$6</f>
        <v>130</v>
      </c>
      <c r="K135" s="69">
        <f t="shared" si="24"/>
        <v>1548.0231355636784</v>
      </c>
      <c r="L135" s="69">
        <f>I135*Annahmen!$B$7</f>
        <v>8.3355091914967279</v>
      </c>
      <c r="M135" s="69">
        <f>I135*(1-Annahmen!$B$7)</f>
        <v>3.5723610820700271</v>
      </c>
      <c r="N135" s="69">
        <f>Annahmen!$B$8</f>
        <v>78</v>
      </c>
      <c r="O135" s="72">
        <f>INDEX(Quelle_SMARD_Preise_2025!$C$11:$C$375, MATCH($A135,Quelle_SMARD_Preise_2025!$A$11:$A$375, 0))</f>
        <v>69.06</v>
      </c>
      <c r="P135" s="69">
        <f t="shared" si="25"/>
        <v>650.16971693674475</v>
      </c>
      <c r="Q135" s="69">
        <f t="shared" si="26"/>
        <v>246.70725632775608</v>
      </c>
      <c r="R135" s="73">
        <f>Annahmen!$B$9</f>
        <v>0.05</v>
      </c>
      <c r="S135" s="69">
        <f t="shared" si="27"/>
        <v>0.59539351367833782</v>
      </c>
      <c r="T135" s="69">
        <f t="shared" si="28"/>
        <v>0</v>
      </c>
      <c r="U135" s="74">
        <f>$O135+Annahmen!$B$10+(T135*Annahmen!$B$11)</f>
        <v>77.06</v>
      </c>
      <c r="V135" s="74">
        <f t="shared" si="21"/>
        <v>45.881024164052711</v>
      </c>
      <c r="W135" s="74">
        <f t="shared" si="29"/>
        <v>605.26513813512474</v>
      </c>
    </row>
    <row r="136" spans="1:23" x14ac:dyDescent="0.35">
      <c r="A136" s="70">
        <v>45792</v>
      </c>
      <c r="B136" s="71" t="str">
        <f t="shared" si="22"/>
        <v>Do</v>
      </c>
      <c r="C136" s="69">
        <f t="shared" si="23"/>
        <v>5</v>
      </c>
      <c r="D136" s="69">
        <v>135</v>
      </c>
      <c r="E136" s="69" t="str">
        <f>IF(OR(COUNTIF(Feiertage_Hessen_2025!$C$4:$C$13,A136)&gt;0,WEEKDAY(A136,2)=7),"FT",IF(WEEKDAY(A136,2)=6,"SA","WT"))</f>
        <v>WT</v>
      </c>
      <c r="F136" s="69">
        <f>INDEX('BDEW-H25 Tagessummen'!$C$4:$C$39, MATCH(C136&amp;"_"&amp;E136, 'BDEW-H25 Tagessummen'!$D$4:$D$39, 0))</f>
        <v>2632.0230000000001</v>
      </c>
      <c r="G136" s="69">
        <f t="shared" si="20"/>
        <v>0.90122195500000002</v>
      </c>
      <c r="H136" s="69">
        <f>Tabelle1[[#This Row],[Profilwert (kWh)]]*Tabelle1[[#This Row],[Dynamisierungsfaktor]]</f>
        <v>2372.0369136649651</v>
      </c>
      <c r="I136" s="69">
        <f>Annahmen!$B$5*(H136/SUM($H$2:$H$366))</f>
        <v>11.865314512758811</v>
      </c>
      <c r="J136" s="69">
        <f>Annahmen!$B$6</f>
        <v>130</v>
      </c>
      <c r="K136" s="69">
        <f t="shared" si="24"/>
        <v>1542.4908866586454</v>
      </c>
      <c r="L136" s="69">
        <f>I136*Annahmen!$B$7</f>
        <v>8.3057201589311678</v>
      </c>
      <c r="M136" s="69">
        <f>I136*(1-Annahmen!$B$7)</f>
        <v>3.5595943538276438</v>
      </c>
      <c r="N136" s="69">
        <f>Annahmen!$B$8</f>
        <v>78</v>
      </c>
      <c r="O136" s="72">
        <f>INDEX(Quelle_SMARD_Preise_2025!$C$11:$C$375, MATCH($A136,Quelle_SMARD_Preise_2025!$A$11:$A$375, 0))</f>
        <v>66.239999999999995</v>
      </c>
      <c r="P136" s="69">
        <f t="shared" si="25"/>
        <v>647.84617239663112</v>
      </c>
      <c r="Q136" s="69">
        <f t="shared" si="26"/>
        <v>235.78752999754312</v>
      </c>
      <c r="R136" s="73">
        <f>Annahmen!$B$9</f>
        <v>0.05</v>
      </c>
      <c r="S136" s="69">
        <f t="shared" si="27"/>
        <v>0.59326572563794056</v>
      </c>
      <c r="T136" s="69">
        <f t="shared" si="28"/>
        <v>0</v>
      </c>
      <c r="U136" s="74">
        <f>$O136+Annahmen!$B$10+(T136*Annahmen!$B$11)</f>
        <v>74.239999999999995</v>
      </c>
      <c r="V136" s="74">
        <f t="shared" si="21"/>
        <v>44.044047471360706</v>
      </c>
      <c r="W136" s="74">
        <f t="shared" si="29"/>
        <v>614.81313679311052</v>
      </c>
    </row>
    <row r="137" spans="1:23" x14ac:dyDescent="0.35">
      <c r="A137" s="70">
        <v>45793</v>
      </c>
      <c r="B137" s="71" t="str">
        <f t="shared" si="22"/>
        <v>Fr</v>
      </c>
      <c r="C137" s="69">
        <f t="shared" si="23"/>
        <v>5</v>
      </c>
      <c r="D137" s="69">
        <v>136</v>
      </c>
      <c r="E137" s="69" t="str">
        <f>IF(OR(COUNTIF(Feiertage_Hessen_2025!$C$4:$C$13,A137)&gt;0,WEEKDAY(A137,2)=7),"FT",IF(WEEKDAY(A137,2)=6,"SA","WT"))</f>
        <v>WT</v>
      </c>
      <c r="F137" s="69">
        <f>INDEX('BDEW-H25 Tagessummen'!$C$4:$C$39, MATCH(C137&amp;"_"&amp;E137, 'BDEW-H25 Tagessummen'!$D$4:$D$39, 0))</f>
        <v>2632.0230000000001</v>
      </c>
      <c r="G137" s="69">
        <f t="shared" si="20"/>
        <v>0.89802272972800012</v>
      </c>
      <c r="H137" s="69">
        <f>Tabelle1[[#This Row],[Profilwert (kWh)]]*Tabelle1[[#This Row],[Dynamisierungsfaktor]]</f>
        <v>2363.6164791668803</v>
      </c>
      <c r="I137" s="69">
        <f>Annahmen!$B$5*(H137/SUM($H$2:$H$366))</f>
        <v>11.823194129606975</v>
      </c>
      <c r="J137" s="69">
        <f>Annahmen!$B$6</f>
        <v>130</v>
      </c>
      <c r="K137" s="69">
        <f t="shared" si="24"/>
        <v>1537.0152368489066</v>
      </c>
      <c r="L137" s="69">
        <f>I137*Annahmen!$B$7</f>
        <v>8.2762358907248821</v>
      </c>
      <c r="M137" s="69">
        <f>I137*(1-Annahmen!$B$7)</f>
        <v>3.5469582388820928</v>
      </c>
      <c r="N137" s="69">
        <f>Annahmen!$B$8</f>
        <v>78</v>
      </c>
      <c r="O137" s="72">
        <f>INDEX(Quelle_SMARD_Preise_2025!$C$11:$C$375, MATCH($A137,Quelle_SMARD_Preise_2025!$A$11:$A$375, 0))</f>
        <v>73.400000000000006</v>
      </c>
      <c r="P137" s="69">
        <f t="shared" si="25"/>
        <v>645.54639947654084</v>
      </c>
      <c r="Q137" s="69">
        <f t="shared" si="26"/>
        <v>260.34673473394565</v>
      </c>
      <c r="R137" s="73">
        <f>Annahmen!$B$9</f>
        <v>0.05</v>
      </c>
      <c r="S137" s="69">
        <f t="shared" si="27"/>
        <v>0.59115970648034877</v>
      </c>
      <c r="T137" s="69">
        <f t="shared" si="28"/>
        <v>0</v>
      </c>
      <c r="U137" s="74">
        <f>$O137+Annahmen!$B$10+(T137*Annahmen!$B$11)</f>
        <v>81.400000000000006</v>
      </c>
      <c r="V137" s="74">
        <f t="shared" si="21"/>
        <v>48.120400107500394</v>
      </c>
      <c r="W137" s="74">
        <f t="shared" si="29"/>
        <v>583.00170253091972</v>
      </c>
    </row>
    <row r="138" spans="1:23" x14ac:dyDescent="0.35">
      <c r="A138" s="70">
        <v>45794</v>
      </c>
      <c r="B138" s="71" t="str">
        <f t="shared" si="22"/>
        <v>Sa</v>
      </c>
      <c r="C138" s="69">
        <f t="shared" si="23"/>
        <v>5</v>
      </c>
      <c r="D138" s="69">
        <v>137</v>
      </c>
      <c r="E138" s="69" t="str">
        <f>IF(OR(COUNTIF(Feiertage_Hessen_2025!$C$4:$C$13,A138)&gt;0,WEEKDAY(A138,2)=7),"FT",IF(WEEKDAY(A138,2)=6,"SA","WT"))</f>
        <v>SA</v>
      </c>
      <c r="F138" s="69">
        <f>INDEX('BDEW-H25 Tagessummen'!$C$4:$C$39, MATCH(C138&amp;"_"&amp;E138, 'BDEW-H25 Tagessummen'!$D$4:$D$39, 0))</f>
        <v>3024.4370000000013</v>
      </c>
      <c r="G138" s="69">
        <f t="shared" si="20"/>
        <v>0.89485721848800015</v>
      </c>
      <c r="H138" s="69">
        <f>Tabelle1[[#This Row],[Profilwert (kWh)]]*Tabelle1[[#This Row],[Dynamisierungsfaktor]]</f>
        <v>2706.4392813121926</v>
      </c>
      <c r="I138" s="69">
        <f>Annahmen!$B$5*(H138/SUM($H$2:$H$366))</f>
        <v>13.538049554565152</v>
      </c>
      <c r="J138" s="69">
        <f>Annahmen!$B$6</f>
        <v>130</v>
      </c>
      <c r="K138" s="69">
        <f t="shared" si="24"/>
        <v>1759.9464420934698</v>
      </c>
      <c r="L138" s="69">
        <f>I138*Annahmen!$B$7</f>
        <v>9.4766346881956061</v>
      </c>
      <c r="M138" s="69">
        <f>I138*(1-Annahmen!$B$7)</f>
        <v>4.061414866369546</v>
      </c>
      <c r="N138" s="69">
        <f>Annahmen!$B$8</f>
        <v>78</v>
      </c>
      <c r="O138" s="72">
        <f>INDEX(Quelle_SMARD_Preise_2025!$C$11:$C$375, MATCH($A138,Quelle_SMARD_Preise_2025!$A$11:$A$375, 0))</f>
        <v>59.51</v>
      </c>
      <c r="P138" s="69">
        <f t="shared" si="25"/>
        <v>739.17750567925725</v>
      </c>
      <c r="Q138" s="69">
        <f t="shared" si="26"/>
        <v>241.69479869765166</v>
      </c>
      <c r="R138" s="73">
        <f>Annahmen!$B$9</f>
        <v>0.05</v>
      </c>
      <c r="S138" s="69">
        <f t="shared" si="27"/>
        <v>0.67690247772825762</v>
      </c>
      <c r="T138" s="69">
        <f t="shared" si="28"/>
        <v>0</v>
      </c>
      <c r="U138" s="74">
        <f>$O138+Annahmen!$B$10+(T138*Annahmen!$B$11)</f>
        <v>67.509999999999991</v>
      </c>
      <c r="V138" s="74">
        <f t="shared" si="21"/>
        <v>45.697686271434669</v>
      </c>
      <c r="W138" s="74">
        <f t="shared" si="29"/>
        <v>733.37645144512624</v>
      </c>
    </row>
    <row r="139" spans="1:23" x14ac:dyDescent="0.35">
      <c r="A139" s="70">
        <v>45795</v>
      </c>
      <c r="B139" s="71" t="str">
        <f t="shared" si="22"/>
        <v>So</v>
      </c>
      <c r="C139" s="69">
        <f t="shared" si="23"/>
        <v>5</v>
      </c>
      <c r="D139" s="69">
        <v>138</v>
      </c>
      <c r="E139" s="69" t="str">
        <f>IF(OR(COUNTIF(Feiertage_Hessen_2025!$C$4:$C$13,A139)&gt;0,WEEKDAY(A139,2)=7),"FT",IF(WEEKDAY(A139,2)=6,"SA","WT"))</f>
        <v>FT</v>
      </c>
      <c r="F139" s="69">
        <f>INDEX('BDEW-H25 Tagessummen'!$C$4:$C$39, MATCH(C139&amp;"_"&amp;E139, 'BDEW-H25 Tagessummen'!$D$4:$D$39, 0))</f>
        <v>3087.4540000000006</v>
      </c>
      <c r="G139" s="69">
        <f t="shared" si="20"/>
        <v>0.89172605708800012</v>
      </c>
      <c r="H139" s="69">
        <f>Tabelle1[[#This Row],[Profilwert (kWh)]]*Tabelle1[[#This Row],[Dynamisierungsfaktor]]</f>
        <v>2753.1631818605747</v>
      </c>
      <c r="I139" s="69">
        <f>Annahmen!$B$5*(H139/SUM($H$2:$H$366))</f>
        <v>13.771770105908868</v>
      </c>
      <c r="J139" s="69">
        <f>Annahmen!$B$6</f>
        <v>130</v>
      </c>
      <c r="K139" s="69">
        <f t="shared" si="24"/>
        <v>1790.3301137681528</v>
      </c>
      <c r="L139" s="69">
        <f>I139*Annahmen!$B$7</f>
        <v>9.6402390741362058</v>
      </c>
      <c r="M139" s="69">
        <f>I139*(1-Annahmen!$B$7)</f>
        <v>4.1315310317726608</v>
      </c>
      <c r="N139" s="69">
        <f>Annahmen!$B$8</f>
        <v>78</v>
      </c>
      <c r="O139" s="72">
        <f>INDEX(Quelle_SMARD_Preise_2025!$C$11:$C$375, MATCH($A139,Quelle_SMARD_Preise_2025!$A$11:$A$375, 0))</f>
        <v>62.93</v>
      </c>
      <c r="P139" s="69">
        <f t="shared" si="25"/>
        <v>751.938647782624</v>
      </c>
      <c r="Q139" s="69">
        <f t="shared" si="26"/>
        <v>259.99724782945356</v>
      </c>
      <c r="R139" s="73">
        <f>Annahmen!$B$9</f>
        <v>0.05</v>
      </c>
      <c r="S139" s="69">
        <f t="shared" si="27"/>
        <v>0.68858850529544346</v>
      </c>
      <c r="T139" s="69">
        <f t="shared" si="28"/>
        <v>0</v>
      </c>
      <c r="U139" s="74">
        <f>$O139+Annahmen!$B$10+(T139*Annahmen!$B$11)</f>
        <v>70.930000000000007</v>
      </c>
      <c r="V139" s="74">
        <f t="shared" si="21"/>
        <v>48.841582680605811</v>
      </c>
      <c r="W139" s="74">
        <f t="shared" si="29"/>
        <v>729.55263547546951</v>
      </c>
    </row>
    <row r="140" spans="1:23" x14ac:dyDescent="0.35">
      <c r="A140" s="70">
        <v>45796</v>
      </c>
      <c r="B140" s="71" t="str">
        <f t="shared" si="22"/>
        <v>Mo</v>
      </c>
      <c r="C140" s="69">
        <f t="shared" si="23"/>
        <v>5</v>
      </c>
      <c r="D140" s="69">
        <v>139</v>
      </c>
      <c r="E140" s="69" t="str">
        <f>IF(OR(COUNTIF(Feiertage_Hessen_2025!$C$4:$C$13,A140)&gt;0,WEEKDAY(A140,2)=7),"FT",IF(WEEKDAY(A140,2)=6,"SA","WT"))</f>
        <v>WT</v>
      </c>
      <c r="F140" s="69">
        <f>INDEX('BDEW-H25 Tagessummen'!$C$4:$C$39, MATCH(C140&amp;"_"&amp;E140, 'BDEW-H25 Tagessummen'!$D$4:$D$39, 0))</f>
        <v>2632.0230000000001</v>
      </c>
      <c r="G140" s="69">
        <f t="shared" si="20"/>
        <v>0.88862987192800003</v>
      </c>
      <c r="H140" s="69">
        <f>Tabelle1[[#This Row],[Profilwert (kWh)]]*Tabelle1[[#This Row],[Dynamisierungsfaktor]]</f>
        <v>2338.8942614015505</v>
      </c>
      <c r="I140" s="69">
        <f>Annahmen!$B$5*(H140/SUM($H$2:$H$366))</f>
        <v>11.699529574663215</v>
      </c>
      <c r="J140" s="69">
        <f>Annahmen!$B$6</f>
        <v>130</v>
      </c>
      <c r="K140" s="69">
        <f t="shared" si="24"/>
        <v>1520.9388447062179</v>
      </c>
      <c r="L140" s="69">
        <f>I140*Annahmen!$B$7</f>
        <v>8.1896707022642499</v>
      </c>
      <c r="M140" s="69">
        <f>I140*(1-Annahmen!$B$7)</f>
        <v>3.509858872398965</v>
      </c>
      <c r="N140" s="69">
        <f>Annahmen!$B$8</f>
        <v>78</v>
      </c>
      <c r="O140" s="72">
        <f>INDEX(Quelle_SMARD_Preise_2025!$C$11:$C$375, MATCH($A140,Quelle_SMARD_Preise_2025!$A$11:$A$375, 0))</f>
        <v>95.54</v>
      </c>
      <c r="P140" s="69">
        <f t="shared" si="25"/>
        <v>638.79431477661149</v>
      </c>
      <c r="Q140" s="69">
        <f t="shared" si="26"/>
        <v>335.33191666899711</v>
      </c>
      <c r="R140" s="73">
        <f>Annahmen!$B$9</f>
        <v>0.05</v>
      </c>
      <c r="S140" s="69">
        <f t="shared" si="27"/>
        <v>0.58497647873316072</v>
      </c>
      <c r="T140" s="69">
        <f t="shared" si="28"/>
        <v>0</v>
      </c>
      <c r="U140" s="74">
        <f>$O140+Annahmen!$B$10+(T140*Annahmen!$B$11)</f>
        <v>103.54</v>
      </c>
      <c r="V140" s="74">
        <f t="shared" si="21"/>
        <v>60.568464608031462</v>
      </c>
      <c r="W140" s="74">
        <f t="shared" si="29"/>
        <v>486.24414865257779</v>
      </c>
    </row>
    <row r="141" spans="1:23" x14ac:dyDescent="0.35">
      <c r="A141" s="70">
        <v>45797</v>
      </c>
      <c r="B141" s="71" t="str">
        <f t="shared" si="22"/>
        <v>Di</v>
      </c>
      <c r="C141" s="69">
        <f t="shared" si="23"/>
        <v>5</v>
      </c>
      <c r="D141" s="69">
        <v>140</v>
      </c>
      <c r="E141" s="69" t="str">
        <f>IF(OR(COUNTIF(Feiertage_Hessen_2025!$C$4:$C$13,A141)&gt;0,WEEKDAY(A141,2)=7),"FT",IF(WEEKDAY(A141,2)=6,"SA","WT"))</f>
        <v>WT</v>
      </c>
      <c r="F141" s="69">
        <f>INDEX('BDEW-H25 Tagessummen'!$C$4:$C$39, MATCH(C141&amp;"_"&amp;E141, 'BDEW-H25 Tagessummen'!$D$4:$D$39, 0))</f>
        <v>2632.0230000000001</v>
      </c>
      <c r="G141" s="69">
        <f t="shared" si="20"/>
        <v>0.88556928000000001</v>
      </c>
      <c r="H141" s="69">
        <f>Tabelle1[[#This Row],[Profilwert (kWh)]]*Tabelle1[[#This Row],[Dynamisierungsfaktor]]</f>
        <v>2330.8387130534402</v>
      </c>
      <c r="I141" s="69">
        <f>Annahmen!$B$5*(H141/SUM($H$2:$H$366))</f>
        <v>11.659234411391331</v>
      </c>
      <c r="J141" s="69">
        <f>Annahmen!$B$6</f>
        <v>130</v>
      </c>
      <c r="K141" s="69">
        <f t="shared" si="24"/>
        <v>1515.7004734808731</v>
      </c>
      <c r="L141" s="69">
        <f>I141*Annahmen!$B$7</f>
        <v>8.1614640879739309</v>
      </c>
      <c r="M141" s="69">
        <f>I141*(1-Annahmen!$B$7)</f>
        <v>3.4977703234174</v>
      </c>
      <c r="N141" s="69">
        <f>Annahmen!$B$8</f>
        <v>78</v>
      </c>
      <c r="O141" s="72">
        <f>INDEX(Quelle_SMARD_Preise_2025!$C$11:$C$375, MATCH($A141,Quelle_SMARD_Preise_2025!$A$11:$A$375, 0))</f>
        <v>91.14</v>
      </c>
      <c r="P141" s="69">
        <f t="shared" si="25"/>
        <v>636.59419886196656</v>
      </c>
      <c r="Q141" s="69">
        <f t="shared" si="26"/>
        <v>318.78678727626186</v>
      </c>
      <c r="R141" s="73">
        <f>Annahmen!$B$9</f>
        <v>0.05</v>
      </c>
      <c r="S141" s="69">
        <f t="shared" si="27"/>
        <v>0.58296172056956663</v>
      </c>
      <c r="T141" s="69">
        <f t="shared" si="28"/>
        <v>0</v>
      </c>
      <c r="U141" s="74">
        <f>$O141+Annahmen!$B$10+(T141*Annahmen!$B$11)</f>
        <v>99.14</v>
      </c>
      <c r="V141" s="74">
        <f t="shared" si="21"/>
        <v>57.794824977266835</v>
      </c>
      <c r="W141" s="74">
        <f t="shared" si="29"/>
        <v>502.52466236537788</v>
      </c>
    </row>
    <row r="142" spans="1:23" x14ac:dyDescent="0.35">
      <c r="A142" s="70">
        <v>45798</v>
      </c>
      <c r="B142" s="71" t="str">
        <f t="shared" si="22"/>
        <v>Mi</v>
      </c>
      <c r="C142" s="69">
        <f t="shared" si="23"/>
        <v>5</v>
      </c>
      <c r="D142" s="69">
        <v>141</v>
      </c>
      <c r="E142" s="69" t="str">
        <f>IF(OR(COUNTIF(Feiertage_Hessen_2025!$C$4:$C$13,A142)&gt;0,WEEKDAY(A142,2)=7),"FT",IF(WEEKDAY(A142,2)=6,"SA","WT"))</f>
        <v>WT</v>
      </c>
      <c r="F142" s="69">
        <f>INDEX('BDEW-H25 Tagessummen'!$C$4:$C$39, MATCH(C142&amp;"_"&amp;E142, 'BDEW-H25 Tagessummen'!$D$4:$D$39, 0))</f>
        <v>2632.0230000000001</v>
      </c>
      <c r="G142" s="69">
        <f t="shared" si="20"/>
        <v>0.88254488888800009</v>
      </c>
      <c r="H142" s="69">
        <f>Tabelle1[[#This Row],[Profilwert (kWh)]]*Tabelle1[[#This Row],[Dynamisierungsfaktor]]</f>
        <v>2322.8784460856609</v>
      </c>
      <c r="I142" s="69">
        <f>Annahmen!$B$5*(H142/SUM($H$2:$H$366))</f>
        <v>11.619415861083741</v>
      </c>
      <c r="J142" s="69">
        <f>Annahmen!$B$6</f>
        <v>130</v>
      </c>
      <c r="K142" s="69">
        <f t="shared" si="24"/>
        <v>1510.5240619408864</v>
      </c>
      <c r="L142" s="69">
        <f>I142*Annahmen!$B$7</f>
        <v>8.1335911027586185</v>
      </c>
      <c r="M142" s="69">
        <f>I142*(1-Annahmen!$B$7)</f>
        <v>3.4858247583251227</v>
      </c>
      <c r="N142" s="69">
        <f>Annahmen!$B$8</f>
        <v>78</v>
      </c>
      <c r="O142" s="72">
        <f>INDEX(Quelle_SMARD_Preise_2025!$C$11:$C$375, MATCH($A142,Quelle_SMARD_Preise_2025!$A$11:$A$375, 0))</f>
        <v>71.349999999999994</v>
      </c>
      <c r="P142" s="69">
        <f t="shared" si="25"/>
        <v>634.42010601517222</v>
      </c>
      <c r="Q142" s="69">
        <f t="shared" si="26"/>
        <v>248.71359650649748</v>
      </c>
      <c r="R142" s="73">
        <f>Annahmen!$B$9</f>
        <v>0.05</v>
      </c>
      <c r="S142" s="69">
        <f t="shared" si="27"/>
        <v>0.58097079305418708</v>
      </c>
      <c r="T142" s="69">
        <f t="shared" si="28"/>
        <v>0</v>
      </c>
      <c r="U142" s="74">
        <f>$O142+Annahmen!$B$10+(T142*Annahmen!$B$11)</f>
        <v>79.349999999999994</v>
      </c>
      <c r="V142" s="74">
        <f t="shared" si="21"/>
        <v>46.100032428849744</v>
      </c>
      <c r="W142" s="74">
        <f t="shared" si="29"/>
        <v>581.29032699036702</v>
      </c>
    </row>
    <row r="143" spans="1:23" x14ac:dyDescent="0.35">
      <c r="A143" s="70">
        <v>45799</v>
      </c>
      <c r="B143" s="71" t="str">
        <f t="shared" si="22"/>
        <v>Do</v>
      </c>
      <c r="C143" s="69">
        <f t="shared" si="23"/>
        <v>5</v>
      </c>
      <c r="D143" s="69">
        <v>142</v>
      </c>
      <c r="E143" s="69" t="str">
        <f>IF(OR(COUNTIF(Feiertage_Hessen_2025!$C$4:$C$13,A143)&gt;0,WEEKDAY(A143,2)=7),"FT",IF(WEEKDAY(A143,2)=6,"SA","WT"))</f>
        <v>WT</v>
      </c>
      <c r="F143" s="69">
        <f>INDEX('BDEW-H25 Tagessummen'!$C$4:$C$39, MATCH(C143&amp;"_"&amp;E143, 'BDEW-H25 Tagessummen'!$D$4:$D$39, 0))</f>
        <v>2632.0230000000001</v>
      </c>
      <c r="G143" s="69">
        <f t="shared" si="20"/>
        <v>0.8795572967680001</v>
      </c>
      <c r="H143" s="69">
        <f>Tabelle1[[#This Row],[Profilwert (kWh)]]*Tabelle1[[#This Row],[Dynamisierungsfaktor]]</f>
        <v>2315.0150349112018</v>
      </c>
      <c r="I143" s="69">
        <f>Annahmen!$B$5*(H143/SUM($H$2:$H$366))</f>
        <v>11.580081799210337</v>
      </c>
      <c r="J143" s="69">
        <f>Annahmen!$B$6</f>
        <v>130</v>
      </c>
      <c r="K143" s="69">
        <f t="shared" si="24"/>
        <v>1505.4106338973438</v>
      </c>
      <c r="L143" s="69">
        <f>I143*Annahmen!$B$7</f>
        <v>8.1060572594472351</v>
      </c>
      <c r="M143" s="69">
        <f>I143*(1-Annahmen!$B$7)</f>
        <v>3.4740245397631018</v>
      </c>
      <c r="N143" s="69">
        <f>Annahmen!$B$8</f>
        <v>78</v>
      </c>
      <c r="O143" s="72">
        <f>INDEX(Quelle_SMARD_Preise_2025!$C$11:$C$375, MATCH($A143,Quelle_SMARD_Preise_2025!$A$11:$A$375, 0))</f>
        <v>61.22</v>
      </c>
      <c r="P143" s="69">
        <f t="shared" si="25"/>
        <v>632.27246623688438</v>
      </c>
      <c r="Q143" s="69">
        <f t="shared" si="26"/>
        <v>212.67978232429709</v>
      </c>
      <c r="R143" s="73">
        <f>Annahmen!$B$9</f>
        <v>0.05</v>
      </c>
      <c r="S143" s="69">
        <f t="shared" si="27"/>
        <v>0.57900408996051689</v>
      </c>
      <c r="T143" s="69">
        <f t="shared" si="28"/>
        <v>0</v>
      </c>
      <c r="U143" s="74">
        <f>$O143+Annahmen!$B$10+(T143*Annahmen!$B$11)</f>
        <v>69.22</v>
      </c>
      <c r="V143" s="74">
        <f t="shared" si="21"/>
        <v>40.07866310706698</v>
      </c>
      <c r="W143" s="74">
        <f t="shared" si="29"/>
        <v>620.37972222909536</v>
      </c>
    </row>
    <row r="144" spans="1:23" x14ac:dyDescent="0.35">
      <c r="A144" s="70">
        <v>45800</v>
      </c>
      <c r="B144" s="71" t="str">
        <f t="shared" si="22"/>
        <v>Fr</v>
      </c>
      <c r="C144" s="69">
        <f t="shared" si="23"/>
        <v>5</v>
      </c>
      <c r="D144" s="69">
        <v>143</v>
      </c>
      <c r="E144" s="69" t="str">
        <f>IF(OR(COUNTIF(Feiertage_Hessen_2025!$C$4:$C$13,A144)&gt;0,WEEKDAY(A144,2)=7),"FT",IF(WEEKDAY(A144,2)=6,"SA","WT"))</f>
        <v>WT</v>
      </c>
      <c r="F144" s="69">
        <f>INDEX('BDEW-H25 Tagessummen'!$C$4:$C$39, MATCH(C144&amp;"_"&amp;E144, 'BDEW-H25 Tagessummen'!$D$4:$D$39, 0))</f>
        <v>2632.0230000000001</v>
      </c>
      <c r="G144" s="69">
        <f t="shared" si="20"/>
        <v>0.87660709240800005</v>
      </c>
      <c r="H144" s="69">
        <f>Tabelle1[[#This Row],[Profilwert (kWh)]]*Tabelle1[[#This Row],[Dynamisierungsfaktor]]</f>
        <v>2307.2500291809815</v>
      </c>
      <c r="I144" s="69">
        <f>Annahmen!$B$5*(H144/SUM($H$2:$H$366))</f>
        <v>11.541239977377099</v>
      </c>
      <c r="J144" s="69">
        <f>Annahmen!$B$6</f>
        <v>130</v>
      </c>
      <c r="K144" s="69">
        <f t="shared" si="24"/>
        <v>1500.361197059023</v>
      </c>
      <c r="L144" s="69">
        <f>I144*Annahmen!$B$7</f>
        <v>8.0788679841639688</v>
      </c>
      <c r="M144" s="69">
        <f>I144*(1-Annahmen!$B$7)</f>
        <v>3.4623719932131305</v>
      </c>
      <c r="N144" s="69">
        <f>Annahmen!$B$8</f>
        <v>78</v>
      </c>
      <c r="O144" s="72">
        <f>INDEX(Quelle_SMARD_Preise_2025!$C$11:$C$375, MATCH($A144,Quelle_SMARD_Preise_2025!$A$11:$A$375, 0))</f>
        <v>82.57</v>
      </c>
      <c r="P144" s="69">
        <f t="shared" si="25"/>
        <v>630.15170276478955</v>
      </c>
      <c r="Q144" s="69">
        <f t="shared" si="26"/>
        <v>285.88805547960817</v>
      </c>
      <c r="R144" s="73">
        <f>Annahmen!$B$9</f>
        <v>0.05</v>
      </c>
      <c r="S144" s="69">
        <f t="shared" si="27"/>
        <v>0.57706199886885501</v>
      </c>
      <c r="T144" s="69">
        <f t="shared" si="28"/>
        <v>0</v>
      </c>
      <c r="U144" s="74">
        <f>$O144+Annahmen!$B$10+(T144*Annahmen!$B$11)</f>
        <v>90.57</v>
      </c>
      <c r="V144" s="74">
        <f t="shared" si="21"/>
        <v>52.264505237552193</v>
      </c>
      <c r="W144" s="74">
        <f t="shared" si="29"/>
        <v>532.0569335770731</v>
      </c>
    </row>
    <row r="145" spans="1:23" x14ac:dyDescent="0.35">
      <c r="A145" s="70">
        <v>45801</v>
      </c>
      <c r="B145" s="71" t="str">
        <f t="shared" si="22"/>
        <v>Sa</v>
      </c>
      <c r="C145" s="69">
        <f t="shared" si="23"/>
        <v>5</v>
      </c>
      <c r="D145" s="69">
        <v>144</v>
      </c>
      <c r="E145" s="69" t="str">
        <f>IF(OR(COUNTIF(Feiertage_Hessen_2025!$C$4:$C$13,A145)&gt;0,WEEKDAY(A145,2)=7),"FT",IF(WEEKDAY(A145,2)=6,"SA","WT"))</f>
        <v>SA</v>
      </c>
      <c r="F145" s="69">
        <f>INDEX('BDEW-H25 Tagessummen'!$C$4:$C$39, MATCH(C145&amp;"_"&amp;E145, 'BDEW-H25 Tagessummen'!$D$4:$D$39, 0))</f>
        <v>3024.4370000000013</v>
      </c>
      <c r="G145" s="69">
        <f t="shared" si="20"/>
        <v>0.87369485516800016</v>
      </c>
      <c r="H145" s="69">
        <f>Tabelle1[[#This Row],[Profilwert (kWh)]]*Tabelle1[[#This Row],[Dynamisierungsfaktor]]</f>
        <v>2642.4350466797418</v>
      </c>
      <c r="I145" s="69">
        <f>Annahmen!$B$5*(H145/SUM($H$2:$H$366))</f>
        <v>13.21788996105821</v>
      </c>
      <c r="J145" s="69">
        <f>Annahmen!$B$6</f>
        <v>130</v>
      </c>
      <c r="K145" s="69">
        <f t="shared" si="24"/>
        <v>1718.3256949375673</v>
      </c>
      <c r="L145" s="69">
        <f>I145*Annahmen!$B$7</f>
        <v>9.2525229727407474</v>
      </c>
      <c r="M145" s="69">
        <f>I145*(1-Annahmen!$B$7)</f>
        <v>3.9653669883174638</v>
      </c>
      <c r="N145" s="69">
        <f>Annahmen!$B$8</f>
        <v>78</v>
      </c>
      <c r="O145" s="72">
        <f>INDEX(Quelle_SMARD_Preise_2025!$C$11:$C$375, MATCH($A145,Quelle_SMARD_Preise_2025!$A$11:$A$375, 0))</f>
        <v>58.1</v>
      </c>
      <c r="P145" s="69">
        <f t="shared" si="25"/>
        <v>721.69679187377835</v>
      </c>
      <c r="Q145" s="69">
        <f t="shared" si="26"/>
        <v>230.38782202124466</v>
      </c>
      <c r="R145" s="73">
        <f>Annahmen!$B$9</f>
        <v>0.05</v>
      </c>
      <c r="S145" s="69">
        <f t="shared" si="27"/>
        <v>0.66089449805291056</v>
      </c>
      <c r="T145" s="69">
        <f t="shared" si="28"/>
        <v>0</v>
      </c>
      <c r="U145" s="74">
        <f>$O145+Annahmen!$B$10+(T145*Annahmen!$B$11)</f>
        <v>66.099999999999994</v>
      </c>
      <c r="V145" s="74">
        <f t="shared" si="21"/>
        <v>43.685126321297382</v>
      </c>
      <c r="W145" s="74">
        <f t="shared" si="29"/>
        <v>722.55595472124685</v>
      </c>
    </row>
    <row r="146" spans="1:23" x14ac:dyDescent="0.35">
      <c r="A146" s="70">
        <v>45802</v>
      </c>
      <c r="B146" s="71" t="str">
        <f t="shared" si="22"/>
        <v>So</v>
      </c>
      <c r="C146" s="69">
        <f t="shared" si="23"/>
        <v>5</v>
      </c>
      <c r="D146" s="69">
        <v>145</v>
      </c>
      <c r="E146" s="69" t="str">
        <f>IF(OR(COUNTIF(Feiertage_Hessen_2025!$C$4:$C$13,A146)&gt;0,WEEKDAY(A146,2)=7),"FT",IF(WEEKDAY(A146,2)=6,"SA","WT"))</f>
        <v>FT</v>
      </c>
      <c r="F146" s="69">
        <f>INDEX('BDEW-H25 Tagessummen'!$C$4:$C$39, MATCH(C146&amp;"_"&amp;E146, 'BDEW-H25 Tagessummen'!$D$4:$D$39, 0))</f>
        <v>3087.4540000000006</v>
      </c>
      <c r="G146" s="69">
        <f t="shared" si="20"/>
        <v>0.87082115500000001</v>
      </c>
      <c r="H146" s="69">
        <f>Tabelle1[[#This Row],[Profilwert (kWh)]]*Tabelle1[[#This Row],[Dynamisierungsfaktor]]</f>
        <v>2688.6202582893707</v>
      </c>
      <c r="I146" s="69">
        <f>Annahmen!$B$5*(H146/SUM($H$2:$H$366))</f>
        <v>13.448915902699172</v>
      </c>
      <c r="J146" s="69">
        <f>Annahmen!$B$6</f>
        <v>130</v>
      </c>
      <c r="K146" s="69">
        <f t="shared" si="24"/>
        <v>1748.3590673508922</v>
      </c>
      <c r="L146" s="69">
        <f>I146*Annahmen!$B$7</f>
        <v>9.414241131889419</v>
      </c>
      <c r="M146" s="69">
        <f>I146*(1-Annahmen!$B$7)</f>
        <v>4.0346747708097519</v>
      </c>
      <c r="N146" s="69">
        <f>Annahmen!$B$8</f>
        <v>78</v>
      </c>
      <c r="O146" s="72">
        <f>INDEX(Quelle_SMARD_Preise_2025!$C$11:$C$375, MATCH($A146,Quelle_SMARD_Preise_2025!$A$11:$A$375, 0))</f>
        <v>23.71</v>
      </c>
      <c r="P146" s="69">
        <f t="shared" si="25"/>
        <v>734.3108082873747</v>
      </c>
      <c r="Q146" s="69">
        <f t="shared" si="26"/>
        <v>95.662138815899226</v>
      </c>
      <c r="R146" s="73">
        <f>Annahmen!$B$9</f>
        <v>0.05</v>
      </c>
      <c r="S146" s="69">
        <f t="shared" si="27"/>
        <v>0.67244579513495861</v>
      </c>
      <c r="T146" s="69">
        <f t="shared" si="28"/>
        <v>0</v>
      </c>
      <c r="U146" s="74">
        <f>$O146+Annahmen!$B$10+(T146*Annahmen!$B$11)</f>
        <v>31.71</v>
      </c>
      <c r="V146" s="74">
        <f t="shared" si="21"/>
        <v>21.323256163729539</v>
      </c>
      <c r="W146" s="74">
        <f t="shared" si="29"/>
        <v>897.06286408388883</v>
      </c>
    </row>
    <row r="147" spans="1:23" x14ac:dyDescent="0.35">
      <c r="A147" s="70">
        <v>45803</v>
      </c>
      <c r="B147" s="71" t="str">
        <f t="shared" si="22"/>
        <v>Mo</v>
      </c>
      <c r="C147" s="69">
        <f t="shared" si="23"/>
        <v>5</v>
      </c>
      <c r="D147" s="69">
        <v>146</v>
      </c>
      <c r="E147" s="69" t="str">
        <f>IF(OR(COUNTIF(Feiertage_Hessen_2025!$C$4:$C$13,A147)&gt;0,WEEKDAY(A147,2)=7),"FT",IF(WEEKDAY(A147,2)=6,"SA","WT"))</f>
        <v>WT</v>
      </c>
      <c r="F147" s="69">
        <f>INDEX('BDEW-H25 Tagessummen'!$C$4:$C$39, MATCH(C147&amp;"_"&amp;E147, 'BDEW-H25 Tagessummen'!$D$4:$D$39, 0))</f>
        <v>2632.0230000000001</v>
      </c>
      <c r="G147" s="69">
        <f t="shared" si="20"/>
        <v>0.86798655244800016</v>
      </c>
      <c r="H147" s="69">
        <f>Tabelle1[[#This Row],[Profilwert (kWh)]]*Tabelle1[[#This Row],[Dynamisierungsfaktor]]</f>
        <v>2284.5605697338428</v>
      </c>
      <c r="I147" s="69">
        <f>Annahmen!$B$5*(H147/SUM($H$2:$H$366))</f>
        <v>11.427743610219464</v>
      </c>
      <c r="J147" s="69">
        <f>Annahmen!$B$6</f>
        <v>130</v>
      </c>
      <c r="K147" s="69">
        <f t="shared" si="24"/>
        <v>1485.6066693285302</v>
      </c>
      <c r="L147" s="69">
        <f>I147*Annahmen!$B$7</f>
        <v>7.9994205271536245</v>
      </c>
      <c r="M147" s="69">
        <f>I147*(1-Annahmen!$B$7)</f>
        <v>3.4283230830658398</v>
      </c>
      <c r="N147" s="69">
        <f>Annahmen!$B$8</f>
        <v>78</v>
      </c>
      <c r="O147" s="72">
        <f>INDEX(Quelle_SMARD_Preise_2025!$C$11:$C$375, MATCH($A147,Quelle_SMARD_Preise_2025!$A$11:$A$375, 0))</f>
        <v>72.91</v>
      </c>
      <c r="P147" s="69">
        <f t="shared" si="25"/>
        <v>623.9548011179827</v>
      </c>
      <c r="Q147" s="69">
        <f t="shared" si="26"/>
        <v>249.95903598633038</v>
      </c>
      <c r="R147" s="73">
        <f>Annahmen!$B$9</f>
        <v>0.05</v>
      </c>
      <c r="S147" s="69">
        <f t="shared" si="27"/>
        <v>0.57138718051097326</v>
      </c>
      <c r="T147" s="69">
        <f t="shared" si="28"/>
        <v>0</v>
      </c>
      <c r="U147" s="74">
        <f>$O147+Annahmen!$B$10+(T147*Annahmen!$B$11)</f>
        <v>80.91</v>
      </c>
      <c r="V147" s="74">
        <f t="shared" si="21"/>
        <v>46.230936775142844</v>
      </c>
      <c r="W147" s="74">
        <f t="shared" si="29"/>
        <v>565.46189544907429</v>
      </c>
    </row>
    <row r="148" spans="1:23" x14ac:dyDescent="0.35">
      <c r="A148" s="70">
        <v>45804</v>
      </c>
      <c r="B148" s="71" t="str">
        <f t="shared" si="22"/>
        <v>Di</v>
      </c>
      <c r="C148" s="69">
        <f t="shared" si="23"/>
        <v>5</v>
      </c>
      <c r="D148" s="69">
        <v>147</v>
      </c>
      <c r="E148" s="69" t="str">
        <f>IF(OR(COUNTIF(Feiertage_Hessen_2025!$C$4:$C$13,A148)&gt;0,WEEKDAY(A148,2)=7),"FT",IF(WEEKDAY(A148,2)=6,"SA","WT"))</f>
        <v>WT</v>
      </c>
      <c r="F148" s="69">
        <f>INDEX('BDEW-H25 Tagessummen'!$C$4:$C$39, MATCH(C148&amp;"_"&amp;E148, 'BDEW-H25 Tagessummen'!$D$4:$D$39, 0))</f>
        <v>2632.0230000000001</v>
      </c>
      <c r="G148" s="69">
        <f t="shared" si="20"/>
        <v>0.8651915986480001</v>
      </c>
      <c r="H148" s="69">
        <f>Tabelle1[[#This Row],[Profilwert (kWh)]]*Tabelle1[[#This Row],[Dynamisierungsfaktor]]</f>
        <v>2277.2041870483054</v>
      </c>
      <c r="I148" s="69">
        <f>Annahmen!$B$5*(H148/SUM($H$2:$H$366))</f>
        <v>11.390945787328397</v>
      </c>
      <c r="J148" s="69">
        <f>Annahmen!$B$6</f>
        <v>130</v>
      </c>
      <c r="K148" s="69">
        <f t="shared" si="24"/>
        <v>1480.8229523526916</v>
      </c>
      <c r="L148" s="69">
        <f>I148*Annahmen!$B$7</f>
        <v>7.9736620511298772</v>
      </c>
      <c r="M148" s="69">
        <f>I148*(1-Annahmen!$B$7)</f>
        <v>3.4172837361985193</v>
      </c>
      <c r="N148" s="69">
        <f>Annahmen!$B$8</f>
        <v>78</v>
      </c>
      <c r="O148" s="72">
        <f>INDEX(Quelle_SMARD_Preise_2025!$C$11:$C$375, MATCH($A148,Quelle_SMARD_Preise_2025!$A$11:$A$375, 0))</f>
        <v>61.85</v>
      </c>
      <c r="P148" s="69">
        <f t="shared" si="25"/>
        <v>621.94563998813044</v>
      </c>
      <c r="Q148" s="69">
        <f t="shared" si="26"/>
        <v>211.35899908387842</v>
      </c>
      <c r="R148" s="73">
        <f>Annahmen!$B$9</f>
        <v>0.05</v>
      </c>
      <c r="S148" s="69">
        <f t="shared" si="27"/>
        <v>0.56954728936641985</v>
      </c>
      <c r="T148" s="69">
        <f t="shared" si="28"/>
        <v>0</v>
      </c>
      <c r="U148" s="74">
        <f>$O148+Annahmen!$B$10+(T148*Annahmen!$B$11)</f>
        <v>69.849999999999994</v>
      </c>
      <c r="V148" s="74">
        <f t="shared" si="21"/>
        <v>39.782878162244423</v>
      </c>
      <c r="W148" s="74">
        <f t="shared" si="29"/>
        <v>607.73543511843832</v>
      </c>
    </row>
    <row r="149" spans="1:23" x14ac:dyDescent="0.35">
      <c r="A149" s="70">
        <v>45805</v>
      </c>
      <c r="B149" s="71" t="str">
        <f t="shared" si="22"/>
        <v>Mi</v>
      </c>
      <c r="C149" s="69">
        <f t="shared" si="23"/>
        <v>5</v>
      </c>
      <c r="D149" s="69">
        <v>148</v>
      </c>
      <c r="E149" s="69" t="str">
        <f>IF(OR(COUNTIF(Feiertage_Hessen_2025!$C$4:$C$13,A149)&gt;0,WEEKDAY(A149,2)=7),"FT",IF(WEEKDAY(A149,2)=6,"SA","WT"))</f>
        <v>WT</v>
      </c>
      <c r="F149" s="69">
        <f>INDEX('BDEW-H25 Tagessummen'!$C$4:$C$39, MATCH(C149&amp;"_"&amp;E149, 'BDEW-H25 Tagessummen'!$D$4:$D$39, 0))</f>
        <v>2632.0230000000001</v>
      </c>
      <c r="G149" s="69">
        <f t="shared" si="20"/>
        <v>0.86243683532800008</v>
      </c>
      <c r="H149" s="69">
        <f>Tabelle1[[#This Row],[Profilwert (kWh)]]*Tabelle1[[#This Row],[Dynamisierungsfaktor]]</f>
        <v>2269.9535866305091</v>
      </c>
      <c r="I149" s="69">
        <f>Annahmen!$B$5*(H149/SUM($H$2:$H$366))</f>
        <v>11.35467710454868</v>
      </c>
      <c r="J149" s="69">
        <f>Annahmen!$B$6</f>
        <v>130</v>
      </c>
      <c r="K149" s="69">
        <f t="shared" si="24"/>
        <v>1476.1080235913284</v>
      </c>
      <c r="L149" s="69">
        <f>I149*Annahmen!$B$7</f>
        <v>7.948273973184075</v>
      </c>
      <c r="M149" s="69">
        <f>I149*(1-Annahmen!$B$7)</f>
        <v>3.4064031313646046</v>
      </c>
      <c r="N149" s="69">
        <f>Annahmen!$B$8</f>
        <v>78</v>
      </c>
      <c r="O149" s="72">
        <f>INDEX(Quelle_SMARD_Preise_2025!$C$11:$C$375, MATCH($A149,Quelle_SMARD_Preise_2025!$A$11:$A$375, 0))</f>
        <v>84.19</v>
      </c>
      <c r="P149" s="69">
        <f t="shared" si="25"/>
        <v>619.96536990835784</v>
      </c>
      <c r="Q149" s="69">
        <f t="shared" si="26"/>
        <v>286.78507962958605</v>
      </c>
      <c r="R149" s="73">
        <f>Annahmen!$B$9</f>
        <v>0.05</v>
      </c>
      <c r="S149" s="69">
        <f t="shared" si="27"/>
        <v>0.56773385522743403</v>
      </c>
      <c r="T149" s="69">
        <f t="shared" si="28"/>
        <v>0</v>
      </c>
      <c r="U149" s="74">
        <f>$O149+Annahmen!$B$10+(T149*Annahmen!$B$11)</f>
        <v>92.19</v>
      </c>
      <c r="V149" s="74">
        <f t="shared" si="21"/>
        <v>52.33938411341714</v>
      </c>
      <c r="W149" s="74">
        <f t="shared" si="29"/>
        <v>517.01818993996733</v>
      </c>
    </row>
    <row r="150" spans="1:23" x14ac:dyDescent="0.35">
      <c r="A150" s="70">
        <v>45806</v>
      </c>
      <c r="B150" s="71" t="str">
        <f t="shared" si="22"/>
        <v>Do</v>
      </c>
      <c r="C150" s="69">
        <f t="shared" si="23"/>
        <v>5</v>
      </c>
      <c r="D150" s="69">
        <v>149</v>
      </c>
      <c r="E150" s="69" t="str">
        <f>IF(OR(COUNTIF(Feiertage_Hessen_2025!$C$4:$C$13,A150)&gt;0,WEEKDAY(A150,2)=7),"FT",IF(WEEKDAY(A150,2)=6,"SA","WT"))</f>
        <v>FT</v>
      </c>
      <c r="F150" s="69">
        <f>INDEX('BDEW-H25 Tagessummen'!$C$4:$C$39, MATCH(C150&amp;"_"&amp;E150, 'BDEW-H25 Tagessummen'!$D$4:$D$39, 0))</f>
        <v>3087.4540000000006</v>
      </c>
      <c r="G150" s="69">
        <f t="shared" si="20"/>
        <v>0.85972279480800018</v>
      </c>
      <c r="H150" s="69">
        <f>Tabelle1[[#This Row],[Profilwert (kWh)]]*Tabelle1[[#This Row],[Dynamisierungsfaktor]]</f>
        <v>2654.3545817211398</v>
      </c>
      <c r="I150" s="69">
        <f>Annahmen!$B$5*(H150/SUM($H$2:$H$366))</f>
        <v>13.277513414343142</v>
      </c>
      <c r="J150" s="69">
        <f>Annahmen!$B$6</f>
        <v>130</v>
      </c>
      <c r="K150" s="69">
        <f t="shared" si="24"/>
        <v>1726.0767438646085</v>
      </c>
      <c r="L150" s="69">
        <f>I150*Annahmen!$B$7</f>
        <v>9.2942593900401995</v>
      </c>
      <c r="M150" s="69">
        <f>I150*(1-Annahmen!$B$7)</f>
        <v>3.9832540243029433</v>
      </c>
      <c r="N150" s="69">
        <f>Annahmen!$B$8</f>
        <v>78</v>
      </c>
      <c r="O150" s="72">
        <f>INDEX(Quelle_SMARD_Preise_2025!$C$11:$C$375, MATCH($A150,Quelle_SMARD_Preise_2025!$A$11:$A$375, 0))</f>
        <v>56.29</v>
      </c>
      <c r="P150" s="69">
        <f t="shared" si="25"/>
        <v>724.95223242313557</v>
      </c>
      <c r="Q150" s="69">
        <f t="shared" si="26"/>
        <v>224.21736902801268</v>
      </c>
      <c r="R150" s="73">
        <f>Annahmen!$B$9</f>
        <v>0.05</v>
      </c>
      <c r="S150" s="69">
        <f t="shared" si="27"/>
        <v>0.66387567071715714</v>
      </c>
      <c r="T150" s="69">
        <f t="shared" si="28"/>
        <v>0</v>
      </c>
      <c r="U150" s="74">
        <f>$O150+Annahmen!$B$10+(T150*Annahmen!$B$11)</f>
        <v>64.289999999999992</v>
      </c>
      <c r="V150" s="74">
        <f t="shared" si="21"/>
        <v>42.680566870406025</v>
      </c>
      <c r="W150" s="74">
        <f t="shared" si="29"/>
        <v>734.2265755430542</v>
      </c>
    </row>
    <row r="151" spans="1:23" x14ac:dyDescent="0.35">
      <c r="A151" s="70">
        <v>45807</v>
      </c>
      <c r="B151" s="71" t="str">
        <f t="shared" si="22"/>
        <v>Fr</v>
      </c>
      <c r="C151" s="69">
        <f t="shared" si="23"/>
        <v>5</v>
      </c>
      <c r="D151" s="69">
        <v>150</v>
      </c>
      <c r="E151" s="69" t="str">
        <f>IF(OR(COUNTIF(Feiertage_Hessen_2025!$C$4:$C$13,A151)&gt;0,WEEKDAY(A151,2)=7),"FT",IF(WEEKDAY(A151,2)=6,"SA","WT"))</f>
        <v>WT</v>
      </c>
      <c r="F151" s="69">
        <f>INDEX('BDEW-H25 Tagessummen'!$C$4:$C$39, MATCH(C151&amp;"_"&amp;E151, 'BDEW-H25 Tagessummen'!$D$4:$D$39, 0))</f>
        <v>2632.0230000000001</v>
      </c>
      <c r="G151" s="69">
        <f t="shared" si="20"/>
        <v>0.8570500000000002</v>
      </c>
      <c r="H151" s="69">
        <f>Tabelle1[[#This Row],[Profilwert (kWh)]]*Tabelle1[[#This Row],[Dynamisierungsfaktor]]</f>
        <v>2255.7753121500004</v>
      </c>
      <c r="I151" s="69">
        <f>Annahmen!$B$5*(H151/SUM($H$2:$H$366))</f>
        <v>11.283755069149352</v>
      </c>
      <c r="J151" s="69">
        <f>Annahmen!$B$6</f>
        <v>130</v>
      </c>
      <c r="K151" s="69">
        <f t="shared" si="24"/>
        <v>1466.8881589894158</v>
      </c>
      <c r="L151" s="69">
        <f>I151*Annahmen!$B$7</f>
        <v>7.8986285484045462</v>
      </c>
      <c r="M151" s="69">
        <f>I151*(1-Annahmen!$B$7)</f>
        <v>3.385126520744806</v>
      </c>
      <c r="N151" s="69">
        <f>Annahmen!$B$8</f>
        <v>78</v>
      </c>
      <c r="O151" s="72">
        <f>INDEX(Quelle_SMARD_Preise_2025!$C$11:$C$375, MATCH($A151,Quelle_SMARD_Preise_2025!$A$11:$A$375, 0))</f>
        <v>48.19</v>
      </c>
      <c r="P151" s="69">
        <f t="shared" si="25"/>
        <v>616.09302677555456</v>
      </c>
      <c r="Q151" s="69">
        <f t="shared" si="26"/>
        <v>163.12924703469218</v>
      </c>
      <c r="R151" s="73">
        <f>Annahmen!$B$9</f>
        <v>0.05</v>
      </c>
      <c r="S151" s="69">
        <f t="shared" si="27"/>
        <v>0.56418775345746763</v>
      </c>
      <c r="T151" s="69">
        <f t="shared" si="28"/>
        <v>0</v>
      </c>
      <c r="U151" s="74">
        <f>$O151+Annahmen!$B$10+(T151*Annahmen!$B$11)</f>
        <v>56.19</v>
      </c>
      <c r="V151" s="74">
        <f t="shared" si="21"/>
        <v>31.701709866775104</v>
      </c>
      <c r="W151" s="74">
        <f t="shared" si="29"/>
        <v>655.96417531239399</v>
      </c>
    </row>
    <row r="152" spans="1:23" x14ac:dyDescent="0.35">
      <c r="A152" s="70">
        <v>45808</v>
      </c>
      <c r="B152" s="71" t="str">
        <f t="shared" si="22"/>
        <v>Sa</v>
      </c>
      <c r="C152" s="69">
        <f t="shared" si="23"/>
        <v>5</v>
      </c>
      <c r="D152" s="69">
        <v>151</v>
      </c>
      <c r="E152" s="69" t="str">
        <f>IF(OR(COUNTIF(Feiertage_Hessen_2025!$C$4:$C$13,A152)&gt;0,WEEKDAY(A152,2)=7),"FT",IF(WEEKDAY(A152,2)=6,"SA","WT"))</f>
        <v>SA</v>
      </c>
      <c r="F152" s="69">
        <f>INDEX('BDEW-H25 Tagessummen'!$C$4:$C$39, MATCH(C152&amp;"_"&amp;E152, 'BDEW-H25 Tagessummen'!$D$4:$D$39, 0))</f>
        <v>3024.4370000000013</v>
      </c>
      <c r="G152" s="69">
        <f t="shared" si="20"/>
        <v>0.85441896440800025</v>
      </c>
      <c r="H152" s="69">
        <f>Tabelle1[[#This Row],[Profilwert (kWh)]]*Tabelle1[[#This Row],[Dynamisierungsfaktor]]</f>
        <v>2584.1363294572402</v>
      </c>
      <c r="I152" s="69">
        <f>Annahmen!$B$5*(H152/SUM($H$2:$H$366))</f>
        <v>12.926270293779679</v>
      </c>
      <c r="J152" s="69">
        <f>Annahmen!$B$6</f>
        <v>130</v>
      </c>
      <c r="K152" s="69">
        <f t="shared" si="24"/>
        <v>1680.4151381913582</v>
      </c>
      <c r="L152" s="69">
        <f>I152*Annahmen!$B$7</f>
        <v>9.0483892056457744</v>
      </c>
      <c r="M152" s="69">
        <f>I152*(1-Annahmen!$B$7)</f>
        <v>3.8778810881339041</v>
      </c>
      <c r="N152" s="69">
        <f>Annahmen!$B$8</f>
        <v>78</v>
      </c>
      <c r="O152" s="72">
        <f>INDEX(Quelle_SMARD_Preise_2025!$C$11:$C$375, MATCH($A152,Quelle_SMARD_Preise_2025!$A$11:$A$375, 0))</f>
        <v>70.510000000000005</v>
      </c>
      <c r="P152" s="69">
        <f t="shared" si="25"/>
        <v>705.77435804037043</v>
      </c>
      <c r="Q152" s="69">
        <f t="shared" si="26"/>
        <v>273.42939552432159</v>
      </c>
      <c r="R152" s="73">
        <f>Annahmen!$B$9</f>
        <v>0.05</v>
      </c>
      <c r="S152" s="69">
        <f t="shared" si="27"/>
        <v>0.64631351468898401</v>
      </c>
      <c r="T152" s="69">
        <f t="shared" si="28"/>
        <v>0</v>
      </c>
      <c r="U152" s="74">
        <f>$O152+Annahmen!$B$10+(T152*Annahmen!$B$11)</f>
        <v>78.510000000000005</v>
      </c>
      <c r="V152" s="74">
        <f t="shared" si="21"/>
        <v>50.74207403823214</v>
      </c>
      <c r="W152" s="74">
        <f t="shared" si="29"/>
        <v>650.46931058843404</v>
      </c>
    </row>
    <row r="153" spans="1:23" x14ac:dyDescent="0.35">
      <c r="A153" s="70">
        <v>45809</v>
      </c>
      <c r="B153" s="71" t="str">
        <f t="shared" si="22"/>
        <v>So</v>
      </c>
      <c r="C153" s="69">
        <f t="shared" si="23"/>
        <v>6</v>
      </c>
      <c r="D153" s="69">
        <v>152</v>
      </c>
      <c r="E153" s="69" t="str">
        <f>IF(OR(COUNTIF(Feiertage_Hessen_2025!$C$4:$C$13,A153)&gt;0,WEEKDAY(A153,2)=7),"FT",IF(WEEKDAY(A153,2)=6,"SA","WT"))</f>
        <v>FT</v>
      </c>
      <c r="F153" s="69">
        <f>INDEX('BDEW-H25 Tagessummen'!$C$4:$C$39, MATCH(C153&amp;"_"&amp;E153, 'BDEW-H25 Tagessummen'!$D$4:$D$39, 0))</f>
        <v>3216.2230000000009</v>
      </c>
      <c r="G153" s="69">
        <f t="shared" si="20"/>
        <v>0.85183019212800015</v>
      </c>
      <c r="H153" s="69">
        <f>Tabelle1[[#This Row],[Profilwert (kWh)]]*Tabelle1[[#This Row],[Dynamisierungsfaktor]]</f>
        <v>2739.675856016494</v>
      </c>
      <c r="I153" s="69">
        <f>Annahmen!$B$5*(H153/SUM($H$2:$H$366))</f>
        <v>13.704304307988876</v>
      </c>
      <c r="J153" s="69">
        <f>Annahmen!$B$6</f>
        <v>130</v>
      </c>
      <c r="K153" s="69">
        <f t="shared" si="24"/>
        <v>1781.5595600385539</v>
      </c>
      <c r="L153" s="69">
        <f>I153*Annahmen!$B$7</f>
        <v>9.5930130155922129</v>
      </c>
      <c r="M153" s="69">
        <f>I153*(1-Annahmen!$B$7)</f>
        <v>4.1112912923966629</v>
      </c>
      <c r="N153" s="69">
        <f>Annahmen!$B$8</f>
        <v>78</v>
      </c>
      <c r="O153" s="72">
        <f>INDEX(Quelle_SMARD_Preise_2025!$C$11:$C$375, MATCH($A153,Quelle_SMARD_Preise_2025!$A$11:$A$375, 0))</f>
        <v>39.58</v>
      </c>
      <c r="P153" s="69">
        <f t="shared" si="25"/>
        <v>748.25501521619265</v>
      </c>
      <c r="Q153" s="69">
        <f t="shared" si="26"/>
        <v>162.7249093530599</v>
      </c>
      <c r="R153" s="73">
        <f>Annahmen!$B$9</f>
        <v>0.05</v>
      </c>
      <c r="S153" s="69">
        <f t="shared" si="27"/>
        <v>0.68521521539944386</v>
      </c>
      <c r="T153" s="69">
        <f t="shared" si="28"/>
        <v>0</v>
      </c>
      <c r="U153" s="74">
        <f>$O153+Annahmen!$B$10+(T153*Annahmen!$B$11)</f>
        <v>47.58</v>
      </c>
      <c r="V153" s="74">
        <f t="shared" si="21"/>
        <v>32.602539948705541</v>
      </c>
      <c r="W153" s="74">
        <f t="shared" si="29"/>
        <v>837.97709552059564</v>
      </c>
    </row>
    <row r="154" spans="1:23" x14ac:dyDescent="0.35">
      <c r="A154" s="70">
        <v>45810</v>
      </c>
      <c r="B154" s="71" t="str">
        <f t="shared" si="22"/>
        <v>Mo</v>
      </c>
      <c r="C154" s="69">
        <f t="shared" si="23"/>
        <v>6</v>
      </c>
      <c r="D154" s="69">
        <v>153</v>
      </c>
      <c r="E154" s="69" t="str">
        <f>IF(OR(COUNTIF(Feiertage_Hessen_2025!$C$4:$C$13,A154)&gt;0,WEEKDAY(A154,2)=7),"FT",IF(WEEKDAY(A154,2)=6,"SA","WT"))</f>
        <v>WT</v>
      </c>
      <c r="F154" s="69">
        <f>INDEX('BDEW-H25 Tagessummen'!$C$4:$C$39, MATCH(C154&amp;"_"&amp;E154, 'BDEW-H25 Tagessummen'!$D$4:$D$39, 0))</f>
        <v>2773.4300000000003</v>
      </c>
      <c r="G154" s="69">
        <f t="shared" si="20"/>
        <v>0.84928417784800014</v>
      </c>
      <c r="H154" s="69">
        <f>Tabelle1[[#This Row],[Profilwert (kWh)]]*Tabelle1[[#This Row],[Dynamisierungsfaktor]]</f>
        <v>2355.4302173689794</v>
      </c>
      <c r="I154" s="69">
        <f>Annahmen!$B$5*(H154/SUM($H$2:$H$366))</f>
        <v>11.782245116395456</v>
      </c>
      <c r="J154" s="69">
        <f>Annahmen!$B$6</f>
        <v>130</v>
      </c>
      <c r="K154" s="69">
        <f t="shared" si="24"/>
        <v>1531.6918651314093</v>
      </c>
      <c r="L154" s="69">
        <f>I154*Annahmen!$B$7</f>
        <v>8.2475715814768193</v>
      </c>
      <c r="M154" s="69">
        <f>I154*(1-Annahmen!$B$7)</f>
        <v>3.5346735349186376</v>
      </c>
      <c r="N154" s="69">
        <f>Annahmen!$B$8</f>
        <v>78</v>
      </c>
      <c r="O154" s="72">
        <f>INDEX(Quelle_SMARD_Preise_2025!$C$11:$C$375, MATCH($A154,Quelle_SMARD_Preise_2025!$A$11:$A$375, 0))</f>
        <v>87.04</v>
      </c>
      <c r="P154" s="69">
        <f t="shared" si="25"/>
        <v>643.31058335519197</v>
      </c>
      <c r="Q154" s="69">
        <f t="shared" si="26"/>
        <v>307.65798447931826</v>
      </c>
      <c r="R154" s="73">
        <f>Annahmen!$B$9</f>
        <v>0.05</v>
      </c>
      <c r="S154" s="69">
        <f t="shared" si="27"/>
        <v>0.58911225581977289</v>
      </c>
      <c r="T154" s="69">
        <f t="shared" si="28"/>
        <v>0</v>
      </c>
      <c r="U154" s="74">
        <f>$O154+Annahmen!$B$10+(T154*Annahmen!$B$11)</f>
        <v>95.04</v>
      </c>
      <c r="V154" s="74">
        <f t="shared" si="21"/>
        <v>55.989228793111216</v>
      </c>
      <c r="W154" s="74">
        <f t="shared" si="29"/>
        <v>524.73406850378785</v>
      </c>
    </row>
    <row r="155" spans="1:23" x14ac:dyDescent="0.35">
      <c r="A155" s="70">
        <v>45811</v>
      </c>
      <c r="B155" s="71" t="str">
        <f t="shared" si="22"/>
        <v>Di</v>
      </c>
      <c r="C155" s="69">
        <f t="shared" si="23"/>
        <v>6</v>
      </c>
      <c r="D155" s="69">
        <v>154</v>
      </c>
      <c r="E155" s="69" t="str">
        <f>IF(OR(COUNTIF(Feiertage_Hessen_2025!$C$4:$C$13,A155)&gt;0,WEEKDAY(A155,2)=7),"FT",IF(WEEKDAY(A155,2)=6,"SA","WT"))</f>
        <v>WT</v>
      </c>
      <c r="F155" s="69">
        <f>INDEX('BDEW-H25 Tagessummen'!$C$4:$C$39, MATCH(C155&amp;"_"&amp;E155, 'BDEW-H25 Tagessummen'!$D$4:$D$39, 0))</f>
        <v>2773.4300000000003</v>
      </c>
      <c r="G155" s="69">
        <f t="shared" si="20"/>
        <v>0.84678140684800018</v>
      </c>
      <c r="H155" s="69">
        <f>Tabelle1[[#This Row],[Profilwert (kWh)]]*Tabelle1[[#This Row],[Dynamisierungsfaktor]]</f>
        <v>2348.4889571944495</v>
      </c>
      <c r="I155" s="69">
        <f>Annahmen!$B$5*(H155/SUM($H$2:$H$366))</f>
        <v>11.747523803834419</v>
      </c>
      <c r="J155" s="69">
        <f>Annahmen!$B$6</f>
        <v>130</v>
      </c>
      <c r="K155" s="69">
        <f t="shared" si="24"/>
        <v>1527.1780944984744</v>
      </c>
      <c r="L155" s="69">
        <f>I155*Annahmen!$B$7</f>
        <v>8.2232666626840931</v>
      </c>
      <c r="M155" s="69">
        <f>I155*(1-Annahmen!$B$7)</f>
        <v>3.5242571411503261</v>
      </c>
      <c r="N155" s="69">
        <f>Annahmen!$B$8</f>
        <v>78</v>
      </c>
      <c r="O155" s="72">
        <f>INDEX(Quelle_SMARD_Preise_2025!$C$11:$C$375, MATCH($A155,Quelle_SMARD_Preise_2025!$A$11:$A$375, 0))</f>
        <v>71.69</v>
      </c>
      <c r="P155" s="69">
        <f t="shared" si="25"/>
        <v>641.41479968935926</v>
      </c>
      <c r="Q155" s="69">
        <f t="shared" si="26"/>
        <v>252.65399444906686</v>
      </c>
      <c r="R155" s="73">
        <f>Annahmen!$B$9</f>
        <v>0.05</v>
      </c>
      <c r="S155" s="69">
        <f t="shared" si="27"/>
        <v>0.58737619019172094</v>
      </c>
      <c r="T155" s="69">
        <f t="shared" si="28"/>
        <v>0</v>
      </c>
      <c r="U155" s="74">
        <f>$O155+Annahmen!$B$10+(T155*Annahmen!$B$11)</f>
        <v>79.69</v>
      </c>
      <c r="V155" s="74">
        <f t="shared" si="21"/>
        <v>46.808008596378237</v>
      </c>
      <c r="W155" s="74">
        <f t="shared" si="29"/>
        <v>586.30129176366995</v>
      </c>
    </row>
    <row r="156" spans="1:23" x14ac:dyDescent="0.35">
      <c r="A156" s="70">
        <v>45812</v>
      </c>
      <c r="B156" s="71" t="str">
        <f t="shared" si="22"/>
        <v>Mi</v>
      </c>
      <c r="C156" s="69">
        <f t="shared" si="23"/>
        <v>6</v>
      </c>
      <c r="D156" s="69">
        <v>155</v>
      </c>
      <c r="E156" s="69" t="str">
        <f>IF(OR(COUNTIF(Feiertage_Hessen_2025!$C$4:$C$13,A156)&gt;0,WEEKDAY(A156,2)=7),"FT",IF(WEEKDAY(A156,2)=6,"SA","WT"))</f>
        <v>WT</v>
      </c>
      <c r="F156" s="69">
        <f>INDEX('BDEW-H25 Tagessummen'!$C$4:$C$39, MATCH(C156&amp;"_"&amp;E156, 'BDEW-H25 Tagessummen'!$D$4:$D$39, 0))</f>
        <v>2773.4300000000003</v>
      </c>
      <c r="G156" s="69">
        <f t="shared" si="20"/>
        <v>0.84432235500000008</v>
      </c>
      <c r="H156" s="69">
        <f>Tabelle1[[#This Row],[Profilwert (kWh)]]*Tabelle1[[#This Row],[Dynamisierungsfaktor]]</f>
        <v>2341.6689490276503</v>
      </c>
      <c r="I156" s="69">
        <f>Annahmen!$B$5*(H156/SUM($H$2:$H$366))</f>
        <v>11.713409013540693</v>
      </c>
      <c r="J156" s="69">
        <f>Annahmen!$B$6</f>
        <v>130</v>
      </c>
      <c r="K156" s="69">
        <f t="shared" si="24"/>
        <v>1522.7431717602901</v>
      </c>
      <c r="L156" s="69">
        <f>I156*Annahmen!$B$7</f>
        <v>8.1993863094784842</v>
      </c>
      <c r="M156" s="69">
        <f>I156*(1-Annahmen!$B$7)</f>
        <v>3.5140227040622083</v>
      </c>
      <c r="N156" s="69">
        <f>Annahmen!$B$8</f>
        <v>78</v>
      </c>
      <c r="O156" s="72">
        <f>INDEX(Quelle_SMARD_Preise_2025!$C$11:$C$375, MATCH($A156,Quelle_SMARD_Preise_2025!$A$11:$A$375, 0))</f>
        <v>83.11</v>
      </c>
      <c r="P156" s="69">
        <f t="shared" si="25"/>
        <v>639.55213213932177</v>
      </c>
      <c r="Q156" s="69">
        <f t="shared" si="26"/>
        <v>292.05042693461013</v>
      </c>
      <c r="R156" s="73">
        <f>Annahmen!$B$9</f>
        <v>0.05</v>
      </c>
      <c r="S156" s="69">
        <f t="shared" si="27"/>
        <v>0.5856704506770346</v>
      </c>
      <c r="T156" s="69">
        <f t="shared" si="28"/>
        <v>0</v>
      </c>
      <c r="U156" s="74">
        <f>$O156+Annahmen!$B$10+(T156*Annahmen!$B$11)</f>
        <v>91.11</v>
      </c>
      <c r="V156" s="74">
        <f t="shared" si="21"/>
        <v>53.360434761184621</v>
      </c>
      <c r="W156" s="74">
        <f t="shared" si="29"/>
        <v>537.78017792517369</v>
      </c>
    </row>
    <row r="157" spans="1:23" x14ac:dyDescent="0.35">
      <c r="A157" s="70">
        <v>45813</v>
      </c>
      <c r="B157" s="71" t="str">
        <f t="shared" si="22"/>
        <v>Do</v>
      </c>
      <c r="C157" s="69">
        <f t="shared" si="23"/>
        <v>6</v>
      </c>
      <c r="D157" s="69">
        <v>156</v>
      </c>
      <c r="E157" s="69" t="str">
        <f>IF(OR(COUNTIF(Feiertage_Hessen_2025!$C$4:$C$13,A157)&gt;0,WEEKDAY(A157,2)=7),"FT",IF(WEEKDAY(A157,2)=6,"SA","WT"))</f>
        <v>WT</v>
      </c>
      <c r="F157" s="69">
        <f>INDEX('BDEW-H25 Tagessummen'!$C$4:$C$39, MATCH(C157&amp;"_"&amp;E157, 'BDEW-H25 Tagessummen'!$D$4:$D$39, 0))</f>
        <v>2773.4300000000003</v>
      </c>
      <c r="G157" s="69">
        <f t="shared" si="20"/>
        <v>0.84190748876800026</v>
      </c>
      <c r="H157" s="69">
        <f>Tabelle1[[#This Row],[Profilwert (kWh)]]*Tabelle1[[#This Row],[Dynamisierungsfaktor]]</f>
        <v>2334.9714865738351</v>
      </c>
      <c r="I157" s="69">
        <f>Annahmen!$B$5*(H157/SUM($H$2:$H$366))</f>
        <v>11.679907216838412</v>
      </c>
      <c r="J157" s="69">
        <f>Annahmen!$B$6</f>
        <v>130</v>
      </c>
      <c r="K157" s="69">
        <f t="shared" si="24"/>
        <v>1518.3879381889935</v>
      </c>
      <c r="L157" s="69">
        <f>I157*Annahmen!$B$7</f>
        <v>8.1759350517868885</v>
      </c>
      <c r="M157" s="69">
        <f>I157*(1-Annahmen!$B$7)</f>
        <v>3.5039721650515241</v>
      </c>
      <c r="N157" s="69">
        <f>Annahmen!$B$8</f>
        <v>78</v>
      </c>
      <c r="O157" s="72">
        <f>INDEX(Quelle_SMARD_Preise_2025!$C$11:$C$375, MATCH($A157,Quelle_SMARD_Preise_2025!$A$11:$A$375, 0))</f>
        <v>80.16</v>
      </c>
      <c r="P157" s="69">
        <f t="shared" si="25"/>
        <v>637.72293403937726</v>
      </c>
      <c r="Q157" s="69">
        <f t="shared" si="26"/>
        <v>280.87840875053018</v>
      </c>
      <c r="R157" s="73">
        <f>Annahmen!$B$9</f>
        <v>0.05</v>
      </c>
      <c r="S157" s="69">
        <f t="shared" si="27"/>
        <v>0.58399536084192061</v>
      </c>
      <c r="T157" s="69">
        <f t="shared" si="28"/>
        <v>0</v>
      </c>
      <c r="U157" s="74">
        <f>$O157+Annahmen!$B$10+(T157*Annahmen!$B$11)</f>
        <v>88.16</v>
      </c>
      <c r="V157" s="74">
        <f t="shared" si="21"/>
        <v>51.485031011823722</v>
      </c>
      <c r="W157" s="74">
        <f t="shared" si="29"/>
        <v>548.30156438726237</v>
      </c>
    </row>
    <row r="158" spans="1:23" x14ac:dyDescent="0.35">
      <c r="A158" s="70">
        <v>45814</v>
      </c>
      <c r="B158" s="71" t="str">
        <f t="shared" si="22"/>
        <v>Fr</v>
      </c>
      <c r="C158" s="69">
        <f t="shared" si="23"/>
        <v>6</v>
      </c>
      <c r="D158" s="69">
        <v>157</v>
      </c>
      <c r="E158" s="69" t="str">
        <f>IF(OR(COUNTIF(Feiertage_Hessen_2025!$C$4:$C$13,A158)&gt;0,WEEKDAY(A158,2)=7),"FT",IF(WEEKDAY(A158,2)=6,"SA","WT"))</f>
        <v>WT</v>
      </c>
      <c r="F158" s="69">
        <f>INDEX('BDEW-H25 Tagessummen'!$C$4:$C$39, MATCH(C158&amp;"_"&amp;E158, 'BDEW-H25 Tagessummen'!$D$4:$D$39, 0))</f>
        <v>2773.4300000000003</v>
      </c>
      <c r="G158" s="69">
        <f t="shared" si="20"/>
        <v>0.83953726520799998</v>
      </c>
      <c r="H158" s="69">
        <f>Tabelle1[[#This Row],[Profilwert (kWh)]]*Tabelle1[[#This Row],[Dynamisierungsfaktor]]</f>
        <v>2328.3978374458238</v>
      </c>
      <c r="I158" s="69">
        <f>Annahmen!$B$5*(H158/SUM($H$2:$H$366))</f>
        <v>11.647024754533108</v>
      </c>
      <c r="J158" s="69">
        <f>Annahmen!$B$6</f>
        <v>130</v>
      </c>
      <c r="K158" s="69">
        <f t="shared" si="24"/>
        <v>1514.1132180893042</v>
      </c>
      <c r="L158" s="69">
        <f>I158*Annahmen!$B$7</f>
        <v>8.1529173281731744</v>
      </c>
      <c r="M158" s="69">
        <f>I158*(1-Annahmen!$B$7)</f>
        <v>3.4941074263599328</v>
      </c>
      <c r="N158" s="69">
        <f>Annahmen!$B$8</f>
        <v>78</v>
      </c>
      <c r="O158" s="72">
        <f>INDEX(Quelle_SMARD_Preise_2025!$C$11:$C$375, MATCH($A158,Quelle_SMARD_Preise_2025!$A$11:$A$375, 0))</f>
        <v>48.63</v>
      </c>
      <c r="P158" s="69">
        <f t="shared" si="25"/>
        <v>635.92755159750755</v>
      </c>
      <c r="Q158" s="69">
        <f t="shared" si="26"/>
        <v>169.91844414388353</v>
      </c>
      <c r="R158" s="73">
        <f>Annahmen!$B$9</f>
        <v>0.05</v>
      </c>
      <c r="S158" s="69">
        <f t="shared" si="27"/>
        <v>0.58235123772665542</v>
      </c>
      <c r="T158" s="69">
        <f t="shared" si="28"/>
        <v>0</v>
      </c>
      <c r="U158" s="74">
        <f>$O158+Annahmen!$B$10+(T158*Annahmen!$B$11)</f>
        <v>56.63</v>
      </c>
      <c r="V158" s="74">
        <f t="shared" si="21"/>
        <v>32.9785505924605</v>
      </c>
      <c r="W158" s="74">
        <f t="shared" si="29"/>
        <v>675.28867175545258</v>
      </c>
    </row>
    <row r="159" spans="1:23" x14ac:dyDescent="0.35">
      <c r="A159" s="70">
        <v>45815</v>
      </c>
      <c r="B159" s="71" t="str">
        <f t="shared" si="22"/>
        <v>Sa</v>
      </c>
      <c r="C159" s="69">
        <f t="shared" si="23"/>
        <v>6</v>
      </c>
      <c r="D159" s="69">
        <v>158</v>
      </c>
      <c r="E159" s="69" t="str">
        <f>IF(OR(COUNTIF(Feiertage_Hessen_2025!$C$4:$C$13,A159)&gt;0,WEEKDAY(A159,2)=7),"FT",IF(WEEKDAY(A159,2)=6,"SA","WT"))</f>
        <v>SA</v>
      </c>
      <c r="F159" s="69">
        <f>INDEX('BDEW-H25 Tagessummen'!$C$4:$C$39, MATCH(C159&amp;"_"&amp;E159, 'BDEW-H25 Tagessummen'!$D$4:$D$39, 0))</f>
        <v>3139.6210000000001</v>
      </c>
      <c r="G159" s="69">
        <f t="shared" si="20"/>
        <v>0.83721213196799993</v>
      </c>
      <c r="H159" s="69">
        <f>Tabelle1[[#This Row],[Profilwert (kWh)]]*Tabelle1[[#This Row],[Dynamisierungsfaktor]]</f>
        <v>2628.5287909815038</v>
      </c>
      <c r="I159" s="69">
        <f>Annahmen!$B$5*(H159/SUM($H$2:$H$366))</f>
        <v>13.148328607858399</v>
      </c>
      <c r="J159" s="69">
        <f>Annahmen!$B$6</f>
        <v>130</v>
      </c>
      <c r="K159" s="69">
        <f t="shared" si="24"/>
        <v>1709.2827190215919</v>
      </c>
      <c r="L159" s="69">
        <f>I159*Annahmen!$B$7</f>
        <v>9.2038300255008796</v>
      </c>
      <c r="M159" s="69">
        <f>I159*(1-Annahmen!$B$7)</f>
        <v>3.9444985823575203</v>
      </c>
      <c r="N159" s="69">
        <f>Annahmen!$B$8</f>
        <v>78</v>
      </c>
      <c r="O159" s="72">
        <f>INDEX(Quelle_SMARD_Preise_2025!$C$11:$C$375, MATCH($A159,Quelle_SMARD_Preise_2025!$A$11:$A$375, 0))</f>
        <v>59.72</v>
      </c>
      <c r="P159" s="69">
        <f t="shared" si="25"/>
        <v>717.89874198906864</v>
      </c>
      <c r="Q159" s="69">
        <f t="shared" si="26"/>
        <v>235.5654553383911</v>
      </c>
      <c r="R159" s="73">
        <f>Annahmen!$B$9</f>
        <v>0.05</v>
      </c>
      <c r="S159" s="69">
        <f t="shared" si="27"/>
        <v>0.65741643039291997</v>
      </c>
      <c r="T159" s="69">
        <f t="shared" si="28"/>
        <v>0</v>
      </c>
      <c r="U159" s="74">
        <f>$O159+Annahmen!$B$10+(T159*Annahmen!$B$11)</f>
        <v>67.72</v>
      </c>
      <c r="V159" s="74">
        <f t="shared" si="21"/>
        <v>44.520240666208537</v>
      </c>
      <c r="W159" s="74">
        <f t="shared" si="29"/>
        <v>711.29828102792362</v>
      </c>
    </row>
    <row r="160" spans="1:23" x14ac:dyDescent="0.35">
      <c r="A160" s="70">
        <v>45816</v>
      </c>
      <c r="B160" s="71" t="str">
        <f t="shared" si="22"/>
        <v>So</v>
      </c>
      <c r="C160" s="69">
        <f t="shared" si="23"/>
        <v>6</v>
      </c>
      <c r="D160" s="69">
        <v>159</v>
      </c>
      <c r="E160" s="69" t="str">
        <f>IF(OR(COUNTIF(Feiertage_Hessen_2025!$C$4:$C$13,A160)&gt;0,WEEKDAY(A160,2)=7),"FT",IF(WEEKDAY(A160,2)=6,"SA","WT"))</f>
        <v>FT</v>
      </c>
      <c r="F160" s="69">
        <f>INDEX('BDEW-H25 Tagessummen'!$C$4:$C$39, MATCH(C160&amp;"_"&amp;E160, 'BDEW-H25 Tagessummen'!$D$4:$D$39, 0))</f>
        <v>3216.2230000000009</v>
      </c>
      <c r="G160" s="69">
        <f t="shared" si="20"/>
        <v>0.83493252728800016</v>
      </c>
      <c r="H160" s="69">
        <f>Tabelle1[[#This Row],[Profilwert (kWh)]]*Tabelle1[[#This Row],[Dynamisierungsfaktor]]</f>
        <v>2685.3291977117947</v>
      </c>
      <c r="I160" s="69">
        <f>Annahmen!$B$5*(H160/SUM($H$2:$H$366))</f>
        <v>13.432453482317547</v>
      </c>
      <c r="J160" s="69">
        <f>Annahmen!$B$6</f>
        <v>130</v>
      </c>
      <c r="K160" s="69">
        <f t="shared" si="24"/>
        <v>1746.2189527012811</v>
      </c>
      <c r="L160" s="69">
        <f>I160*Annahmen!$B$7</f>
        <v>9.4027174376222824</v>
      </c>
      <c r="M160" s="69">
        <f>I160*(1-Annahmen!$B$7)</f>
        <v>4.0297360446952641</v>
      </c>
      <c r="N160" s="69">
        <f>Annahmen!$B$8</f>
        <v>78</v>
      </c>
      <c r="O160" s="72">
        <f>INDEX(Quelle_SMARD_Preise_2025!$C$11:$C$375, MATCH($A160,Quelle_SMARD_Preise_2025!$A$11:$A$375, 0))</f>
        <v>22.64</v>
      </c>
      <c r="P160" s="69">
        <f t="shared" si="25"/>
        <v>733.41196013453805</v>
      </c>
      <c r="Q160" s="69">
        <f t="shared" si="26"/>
        <v>91.233224051900777</v>
      </c>
      <c r="R160" s="73">
        <f>Annahmen!$B$9</f>
        <v>0.05</v>
      </c>
      <c r="S160" s="69">
        <f t="shared" si="27"/>
        <v>0.67162267411587739</v>
      </c>
      <c r="T160" s="69">
        <f t="shared" si="28"/>
        <v>0</v>
      </c>
      <c r="U160" s="74">
        <f>$O160+Annahmen!$B$10+(T160*Annahmen!$B$11)</f>
        <v>30.64</v>
      </c>
      <c r="V160" s="74">
        <f t="shared" si="21"/>
        <v>20.578518734910485</v>
      </c>
      <c r="W160" s="74">
        <f t="shared" si="29"/>
        <v>900.99524977993167</v>
      </c>
    </row>
    <row r="161" spans="1:23" x14ac:dyDescent="0.35">
      <c r="A161" s="70">
        <v>45817</v>
      </c>
      <c r="B161" s="71" t="str">
        <f t="shared" si="22"/>
        <v>Mo</v>
      </c>
      <c r="C161" s="69">
        <f t="shared" si="23"/>
        <v>6</v>
      </c>
      <c r="D161" s="69">
        <v>160</v>
      </c>
      <c r="E161" s="69" t="str">
        <f>IF(OR(COUNTIF(Feiertage_Hessen_2025!$C$4:$C$13,A161)&gt;0,WEEKDAY(A161,2)=7),"FT",IF(WEEKDAY(A161,2)=6,"SA","WT"))</f>
        <v>FT</v>
      </c>
      <c r="F161" s="69">
        <f>INDEX('BDEW-H25 Tagessummen'!$C$4:$C$39, MATCH(C161&amp;"_"&amp;E161, 'BDEW-H25 Tagessummen'!$D$4:$D$39, 0))</f>
        <v>3216.2230000000009</v>
      </c>
      <c r="G161" s="69">
        <f t="shared" si="20"/>
        <v>0.83269888000000014</v>
      </c>
      <c r="H161" s="69">
        <f>Tabelle1[[#This Row],[Profilwert (kWh)]]*Tabelle1[[#This Row],[Dynamisierungsfaktor]]</f>
        <v>2678.1452899302412</v>
      </c>
      <c r="I161" s="69">
        <f>Annahmen!$B$5*(H161/SUM($H$2:$H$366))</f>
        <v>13.396518406953529</v>
      </c>
      <c r="J161" s="69">
        <f>Annahmen!$B$6</f>
        <v>130</v>
      </c>
      <c r="K161" s="69">
        <f t="shared" si="24"/>
        <v>1741.5473929039588</v>
      </c>
      <c r="L161" s="69">
        <f>I161*Annahmen!$B$7</f>
        <v>9.3775628848674693</v>
      </c>
      <c r="M161" s="69">
        <f>I161*(1-Annahmen!$B$7)</f>
        <v>4.0189555220860589</v>
      </c>
      <c r="N161" s="69">
        <f>Annahmen!$B$8</f>
        <v>78</v>
      </c>
      <c r="O161" s="72">
        <f>INDEX(Quelle_SMARD_Preise_2025!$C$11:$C$375, MATCH($A161,Quelle_SMARD_Preise_2025!$A$11:$A$375, 0))</f>
        <v>33.31</v>
      </c>
      <c r="P161" s="69">
        <f t="shared" si="25"/>
        <v>731.44990501966265</v>
      </c>
      <c r="Q161" s="69">
        <f t="shared" si="26"/>
        <v>133.87140844068662</v>
      </c>
      <c r="R161" s="73">
        <f>Annahmen!$B$9</f>
        <v>0.05</v>
      </c>
      <c r="S161" s="69">
        <f t="shared" si="27"/>
        <v>0.66982592034767652</v>
      </c>
      <c r="T161" s="69">
        <f t="shared" si="28"/>
        <v>0</v>
      </c>
      <c r="U161" s="74">
        <f>$O161+Annahmen!$B$10+(T161*Annahmen!$B$11)</f>
        <v>41.31</v>
      </c>
      <c r="V161" s="74">
        <f t="shared" si="21"/>
        <v>27.670508769562517</v>
      </c>
      <c r="W161" s="74">
        <f t="shared" si="29"/>
        <v>848.55557067404698</v>
      </c>
    </row>
    <row r="162" spans="1:23" x14ac:dyDescent="0.35">
      <c r="A162" s="70">
        <v>45818</v>
      </c>
      <c r="B162" s="71" t="str">
        <f t="shared" si="22"/>
        <v>Di</v>
      </c>
      <c r="C162" s="69">
        <f t="shared" si="23"/>
        <v>6</v>
      </c>
      <c r="D162" s="69">
        <v>161</v>
      </c>
      <c r="E162" s="69" t="str">
        <f>IF(OR(COUNTIF(Feiertage_Hessen_2025!$C$4:$C$13,A162)&gt;0,WEEKDAY(A162,2)=7),"FT",IF(WEEKDAY(A162,2)=6,"SA","WT"))</f>
        <v>WT</v>
      </c>
      <c r="F162" s="69">
        <f>INDEX('BDEW-H25 Tagessummen'!$C$4:$C$39, MATCH(C162&amp;"_"&amp;E162, 'BDEW-H25 Tagessummen'!$D$4:$D$39, 0))</f>
        <v>2773.4300000000003</v>
      </c>
      <c r="G162" s="69">
        <f t="shared" si="20"/>
        <v>0.83051160952800007</v>
      </c>
      <c r="H162" s="69">
        <f>Tabelle1[[#This Row],[Profilwert (kWh)]]*Tabelle1[[#This Row],[Dynamisierungsfaktor]]</f>
        <v>2303.3658132132414</v>
      </c>
      <c r="I162" s="69">
        <f>Annahmen!$B$5*(H162/SUM($H$2:$H$366))</f>
        <v>11.521810497242447</v>
      </c>
      <c r="J162" s="69">
        <f>Annahmen!$B$6</f>
        <v>130</v>
      </c>
      <c r="K162" s="69">
        <f t="shared" si="24"/>
        <v>1497.835364641518</v>
      </c>
      <c r="L162" s="69">
        <f>I162*Annahmen!$B$7</f>
        <v>8.0652673480697121</v>
      </c>
      <c r="M162" s="69">
        <f>I162*(1-Annahmen!$B$7)</f>
        <v>3.4565431491727345</v>
      </c>
      <c r="N162" s="69">
        <f>Annahmen!$B$8</f>
        <v>78</v>
      </c>
      <c r="O162" s="72">
        <f>INDEX(Quelle_SMARD_Preise_2025!$C$11:$C$375, MATCH($A162,Quelle_SMARD_Preise_2025!$A$11:$A$375, 0))</f>
        <v>54.12</v>
      </c>
      <c r="P162" s="69">
        <f t="shared" si="25"/>
        <v>629.09085314943752</v>
      </c>
      <c r="Q162" s="69">
        <f t="shared" si="26"/>
        <v>187.06811523322838</v>
      </c>
      <c r="R162" s="73">
        <f>Annahmen!$B$9</f>
        <v>0.05</v>
      </c>
      <c r="S162" s="69">
        <f t="shared" si="27"/>
        <v>0.57609052486212231</v>
      </c>
      <c r="T162" s="69">
        <f t="shared" si="28"/>
        <v>0</v>
      </c>
      <c r="U162" s="74">
        <f>$O162+Annahmen!$B$10+(T162*Annahmen!$B$11)</f>
        <v>62.12</v>
      </c>
      <c r="V162" s="74">
        <f t="shared" si="21"/>
        <v>35.786743404435036</v>
      </c>
      <c r="W162" s="74">
        <f t="shared" si="29"/>
        <v>645.88965285441714</v>
      </c>
    </row>
    <row r="163" spans="1:23" x14ac:dyDescent="0.35">
      <c r="A163" s="70">
        <v>45819</v>
      </c>
      <c r="B163" s="71" t="str">
        <f t="shared" si="22"/>
        <v>Mi</v>
      </c>
      <c r="C163" s="69">
        <f t="shared" si="23"/>
        <v>6</v>
      </c>
      <c r="D163" s="69">
        <v>162</v>
      </c>
      <c r="E163" s="69" t="str">
        <f>IF(OR(COUNTIF(Feiertage_Hessen_2025!$C$4:$C$13,A163)&gt;0,WEEKDAY(A163,2)=7),"FT",IF(WEEKDAY(A163,2)=6,"SA","WT"))</f>
        <v>WT</v>
      </c>
      <c r="F163" s="69">
        <f>INDEX('BDEW-H25 Tagessummen'!$C$4:$C$39, MATCH(C163&amp;"_"&amp;E163, 'BDEW-H25 Tagessummen'!$D$4:$D$39, 0))</f>
        <v>2773.4300000000003</v>
      </c>
      <c r="G163" s="69">
        <f t="shared" si="20"/>
        <v>0.82837112588800021</v>
      </c>
      <c r="H163" s="69">
        <f>Tabelle1[[#This Row],[Profilwert (kWh)]]*Tabelle1[[#This Row],[Dynamisierungsfaktor]]</f>
        <v>2297.4293316715566</v>
      </c>
      <c r="I163" s="69">
        <f>Annahmen!$B$5*(H163/SUM($H$2:$H$366))</f>
        <v>11.492115250855052</v>
      </c>
      <c r="J163" s="69">
        <f>Annahmen!$B$6</f>
        <v>130</v>
      </c>
      <c r="K163" s="69">
        <f t="shared" si="24"/>
        <v>1493.9749826111567</v>
      </c>
      <c r="L163" s="69">
        <f>I163*Annahmen!$B$7</f>
        <v>8.0444806755985354</v>
      </c>
      <c r="M163" s="69">
        <f>I163*(1-Annahmen!$B$7)</f>
        <v>3.4476345752565161</v>
      </c>
      <c r="N163" s="69">
        <f>Annahmen!$B$8</f>
        <v>78</v>
      </c>
      <c r="O163" s="72">
        <f>INDEX(Quelle_SMARD_Preise_2025!$C$11:$C$375, MATCH($A163,Quelle_SMARD_Preise_2025!$A$11:$A$375, 0))</f>
        <v>71.599999999999994</v>
      </c>
      <c r="P163" s="69">
        <f t="shared" si="25"/>
        <v>627.46949269668573</v>
      </c>
      <c r="Q163" s="69">
        <f t="shared" si="26"/>
        <v>246.85063558836654</v>
      </c>
      <c r="R163" s="73">
        <f>Annahmen!$B$9</f>
        <v>0.05</v>
      </c>
      <c r="S163" s="69">
        <f t="shared" si="27"/>
        <v>0.57460576254275264</v>
      </c>
      <c r="T163" s="69">
        <f t="shared" si="28"/>
        <v>0</v>
      </c>
      <c r="U163" s="74">
        <f>$O163+Annahmen!$B$10+(T163*Annahmen!$B$11)</f>
        <v>79.599999999999994</v>
      </c>
      <c r="V163" s="74">
        <f t="shared" si="21"/>
        <v>45.738618698403108</v>
      </c>
      <c r="W163" s="74">
        <f t="shared" si="29"/>
        <v>573.91623562770133</v>
      </c>
    </row>
    <row r="164" spans="1:23" x14ac:dyDescent="0.35">
      <c r="A164" s="70">
        <v>45820</v>
      </c>
      <c r="B164" s="71" t="str">
        <f t="shared" si="22"/>
        <v>Do</v>
      </c>
      <c r="C164" s="69">
        <f t="shared" si="23"/>
        <v>6</v>
      </c>
      <c r="D164" s="69">
        <v>163</v>
      </c>
      <c r="E164" s="69" t="str">
        <f>IF(OR(COUNTIF(Feiertage_Hessen_2025!$C$4:$C$13,A164)&gt;0,WEEKDAY(A164,2)=7),"FT",IF(WEEKDAY(A164,2)=6,"SA","WT"))</f>
        <v>WT</v>
      </c>
      <c r="F164" s="69">
        <f>INDEX('BDEW-H25 Tagessummen'!$C$4:$C$39, MATCH(C164&amp;"_"&amp;E164, 'BDEW-H25 Tagessummen'!$D$4:$D$39, 0))</f>
        <v>2773.4300000000003</v>
      </c>
      <c r="G164" s="69">
        <f t="shared" si="20"/>
        <v>0.82627782968800001</v>
      </c>
      <c r="H164" s="69">
        <f>Tabelle1[[#This Row],[Profilwert (kWh)]]*Tabelle1[[#This Row],[Dynamisierungsfaktor]]</f>
        <v>2291.62372119159</v>
      </c>
      <c r="I164" s="69">
        <f>Annahmen!$B$5*(H164/SUM($H$2:$H$366))</f>
        <v>11.463074642807792</v>
      </c>
      <c r="J164" s="69">
        <f>Annahmen!$B$6</f>
        <v>130</v>
      </c>
      <c r="K164" s="69">
        <f t="shared" si="24"/>
        <v>1490.1997035650129</v>
      </c>
      <c r="L164" s="69">
        <f>I164*Annahmen!$B$7</f>
        <v>8.0241522499654536</v>
      </c>
      <c r="M164" s="69">
        <f>I164*(1-Annahmen!$B$7)</f>
        <v>3.438922392842338</v>
      </c>
      <c r="N164" s="69">
        <f>Annahmen!$B$8</f>
        <v>78</v>
      </c>
      <c r="O164" s="72">
        <f>INDEX(Quelle_SMARD_Preise_2025!$C$11:$C$375, MATCH($A164,Quelle_SMARD_Preise_2025!$A$11:$A$375, 0))</f>
        <v>59.28</v>
      </c>
      <c r="P164" s="69">
        <f t="shared" si="25"/>
        <v>625.88387549730533</v>
      </c>
      <c r="Q164" s="69">
        <f t="shared" si="26"/>
        <v>203.85931944769379</v>
      </c>
      <c r="R164" s="73">
        <f>Annahmen!$B$9</f>
        <v>0.05</v>
      </c>
      <c r="S164" s="69">
        <f t="shared" si="27"/>
        <v>0.57315373214038956</v>
      </c>
      <c r="T164" s="69">
        <f t="shared" si="28"/>
        <v>0</v>
      </c>
      <c r="U164" s="74">
        <f>$O164+Annahmen!$B$10+(T164*Annahmen!$B$11)</f>
        <v>67.28</v>
      </c>
      <c r="V164" s="74">
        <f t="shared" si="21"/>
        <v>38.561783098405414</v>
      </c>
      <c r="W164" s="74">
        <f t="shared" si="29"/>
        <v>621.89472552160839</v>
      </c>
    </row>
    <row r="165" spans="1:23" x14ac:dyDescent="0.35">
      <c r="A165" s="70">
        <v>45821</v>
      </c>
      <c r="B165" s="71" t="str">
        <f t="shared" si="22"/>
        <v>Fr</v>
      </c>
      <c r="C165" s="69">
        <f t="shared" si="23"/>
        <v>6</v>
      </c>
      <c r="D165" s="69">
        <v>164</v>
      </c>
      <c r="E165" s="69" t="str">
        <f>IF(OR(COUNTIF(Feiertage_Hessen_2025!$C$4:$C$13,A165)&gt;0,WEEKDAY(A165,2)=7),"FT",IF(WEEKDAY(A165,2)=6,"SA","WT"))</f>
        <v>WT</v>
      </c>
      <c r="F165" s="69">
        <f>INDEX('BDEW-H25 Tagessummen'!$C$4:$C$39, MATCH(C165&amp;"_"&amp;E165, 'BDEW-H25 Tagessummen'!$D$4:$D$39, 0))</f>
        <v>2773.4300000000003</v>
      </c>
      <c r="G165" s="69">
        <f t="shared" si="20"/>
        <v>0.82423211212800029</v>
      </c>
      <c r="H165" s="69">
        <f>Tabelle1[[#This Row],[Profilwert (kWh)]]*Tabelle1[[#This Row],[Dynamisierungsfaktor]]</f>
        <v>2285.9500667391603</v>
      </c>
      <c r="I165" s="69">
        <f>Annahmen!$B$5*(H165/SUM($H$2:$H$366))</f>
        <v>11.434694100276193</v>
      </c>
      <c r="J165" s="69">
        <f>Annahmen!$B$6</f>
        <v>130</v>
      </c>
      <c r="K165" s="69">
        <f t="shared" si="24"/>
        <v>1486.510233035905</v>
      </c>
      <c r="L165" s="69">
        <f>I165*Annahmen!$B$7</f>
        <v>8.0042858701933355</v>
      </c>
      <c r="M165" s="69">
        <f>I165*(1-Annahmen!$B$7)</f>
        <v>3.4304082300828584</v>
      </c>
      <c r="N165" s="69">
        <f>Annahmen!$B$8</f>
        <v>78</v>
      </c>
      <c r="O165" s="72">
        <f>INDEX(Quelle_SMARD_Preise_2025!$C$11:$C$375, MATCH($A165,Quelle_SMARD_Preise_2025!$A$11:$A$375, 0))</f>
        <v>52.09</v>
      </c>
      <c r="P165" s="69">
        <f t="shared" si="25"/>
        <v>624.33429787508021</v>
      </c>
      <c r="Q165" s="69">
        <f t="shared" si="26"/>
        <v>178.68996470501611</v>
      </c>
      <c r="R165" s="73">
        <f>Annahmen!$B$9</f>
        <v>0.05</v>
      </c>
      <c r="S165" s="69">
        <f t="shared" si="27"/>
        <v>0.57173470501380963</v>
      </c>
      <c r="T165" s="69">
        <f t="shared" si="28"/>
        <v>0</v>
      </c>
      <c r="U165" s="74">
        <f>$O165+Annahmen!$B$10+(T165*Annahmen!$B$11)</f>
        <v>60.09</v>
      </c>
      <c r="V165" s="74">
        <f t="shared" si="21"/>
        <v>34.355538424279821</v>
      </c>
      <c r="W165" s="74">
        <f t="shared" si="29"/>
        <v>649.13043203152881</v>
      </c>
    </row>
    <row r="166" spans="1:23" x14ac:dyDescent="0.35">
      <c r="A166" s="70">
        <v>45822</v>
      </c>
      <c r="B166" s="71" t="str">
        <f t="shared" si="22"/>
        <v>Sa</v>
      </c>
      <c r="C166" s="69">
        <f t="shared" si="23"/>
        <v>6</v>
      </c>
      <c r="D166" s="69">
        <v>165</v>
      </c>
      <c r="E166" s="69" t="str">
        <f>IF(OR(COUNTIF(Feiertage_Hessen_2025!$C$4:$C$13,A166)&gt;0,WEEKDAY(A166,2)=7),"FT",IF(WEEKDAY(A166,2)=6,"SA","WT"))</f>
        <v>SA</v>
      </c>
      <c r="F166" s="69">
        <f>INDEX('BDEW-H25 Tagessummen'!$C$4:$C$39, MATCH(C166&amp;"_"&amp;E166, 'BDEW-H25 Tagessummen'!$D$4:$D$39, 0))</f>
        <v>3139.6210000000001</v>
      </c>
      <c r="G166" s="69">
        <f t="shared" si="20"/>
        <v>0.82223435500000019</v>
      </c>
      <c r="H166" s="69">
        <f>Tabelle1[[#This Row],[Profilwert (kWh)]]*Tabelle1[[#This Row],[Dynamisierungsfaktor]]</f>
        <v>2581.5042478794558</v>
      </c>
      <c r="I166" s="69">
        <f>Annahmen!$B$5*(H166/SUM($H$2:$H$366))</f>
        <v>12.913104193554284</v>
      </c>
      <c r="J166" s="69">
        <f>Annahmen!$B$6</f>
        <v>130</v>
      </c>
      <c r="K166" s="69">
        <f t="shared" si="24"/>
        <v>1678.703545162057</v>
      </c>
      <c r="L166" s="69">
        <f>I166*Annahmen!$B$7</f>
        <v>9.0391729354879988</v>
      </c>
      <c r="M166" s="69">
        <f>I166*(1-Annahmen!$B$7)</f>
        <v>3.8739312580662859</v>
      </c>
      <c r="N166" s="69">
        <f>Annahmen!$B$8</f>
        <v>78</v>
      </c>
      <c r="O166" s="72">
        <f>INDEX(Quelle_SMARD_Preise_2025!$C$11:$C$375, MATCH($A166,Quelle_SMARD_Preise_2025!$A$11:$A$375, 0))</f>
        <v>44.38</v>
      </c>
      <c r="P166" s="69">
        <f t="shared" si="25"/>
        <v>705.05548896806386</v>
      </c>
      <c r="Q166" s="69">
        <f t="shared" si="26"/>
        <v>171.92506923298177</v>
      </c>
      <c r="R166" s="73">
        <f>Annahmen!$B$9</f>
        <v>0.05</v>
      </c>
      <c r="S166" s="69">
        <f t="shared" si="27"/>
        <v>0.64565520967771428</v>
      </c>
      <c r="T166" s="69">
        <f t="shared" si="28"/>
        <v>0</v>
      </c>
      <c r="U166" s="74">
        <f>$O166+Annahmen!$B$10+(T166*Annahmen!$B$11)</f>
        <v>52.38</v>
      </c>
      <c r="V166" s="74">
        <f t="shared" si="21"/>
        <v>33.819419882918673</v>
      </c>
      <c r="W166" s="74">
        <f t="shared" si="29"/>
        <v>767.90356707809281</v>
      </c>
    </row>
    <row r="167" spans="1:23" x14ac:dyDescent="0.35">
      <c r="A167" s="70">
        <v>45823</v>
      </c>
      <c r="B167" s="71" t="str">
        <f t="shared" si="22"/>
        <v>So</v>
      </c>
      <c r="C167" s="69">
        <f t="shared" si="23"/>
        <v>6</v>
      </c>
      <c r="D167" s="69">
        <v>166</v>
      </c>
      <c r="E167" s="69" t="str">
        <f>IF(OR(COUNTIF(Feiertage_Hessen_2025!$C$4:$C$13,A167)&gt;0,WEEKDAY(A167,2)=7),"FT",IF(WEEKDAY(A167,2)=6,"SA","WT"))</f>
        <v>FT</v>
      </c>
      <c r="F167" s="69">
        <f>INDEX('BDEW-H25 Tagessummen'!$C$4:$C$39, MATCH(C167&amp;"_"&amp;E167, 'BDEW-H25 Tagessummen'!$D$4:$D$39, 0))</f>
        <v>3216.2230000000009</v>
      </c>
      <c r="G167" s="69">
        <f t="shared" si="20"/>
        <v>0.82028493068800001</v>
      </c>
      <c r="H167" s="69">
        <f>Tabelle1[[#This Row],[Profilwert (kWh)]]*Tabelle1[[#This Row],[Dynamisierungsfaktor]]</f>
        <v>2638.2192606321523</v>
      </c>
      <c r="I167" s="69">
        <f>Annahmen!$B$5*(H167/SUM($H$2:$H$366))</f>
        <v>13.196801913446057</v>
      </c>
      <c r="J167" s="69">
        <f>Annahmen!$B$6</f>
        <v>130</v>
      </c>
      <c r="K167" s="69">
        <f t="shared" si="24"/>
        <v>1715.5842487479874</v>
      </c>
      <c r="L167" s="69">
        <f>I167*Annahmen!$B$7</f>
        <v>9.2377613394122395</v>
      </c>
      <c r="M167" s="69">
        <f>I167*(1-Annahmen!$B$7)</f>
        <v>3.9590405740338177</v>
      </c>
      <c r="N167" s="69">
        <f>Annahmen!$B$8</f>
        <v>78</v>
      </c>
      <c r="O167" s="72">
        <f>INDEX(Quelle_SMARD_Preise_2025!$C$11:$C$375, MATCH($A167,Quelle_SMARD_Preise_2025!$A$11:$A$375, 0))</f>
        <v>61.84</v>
      </c>
      <c r="P167" s="69">
        <f t="shared" si="25"/>
        <v>720.54538447415473</v>
      </c>
      <c r="Q167" s="69">
        <f t="shared" si="26"/>
        <v>244.82706909825131</v>
      </c>
      <c r="R167" s="73">
        <f>Annahmen!$B$9</f>
        <v>0.05</v>
      </c>
      <c r="S167" s="69">
        <f t="shared" si="27"/>
        <v>0.65984009567230295</v>
      </c>
      <c r="T167" s="69">
        <f t="shared" si="28"/>
        <v>0</v>
      </c>
      <c r="U167" s="74">
        <f>$O167+Annahmen!$B$10+(T167*Annahmen!$B$11)</f>
        <v>69.84</v>
      </c>
      <c r="V167" s="74">
        <f t="shared" si="21"/>
        <v>46.083232281753638</v>
      </c>
      <c r="W167" s="74">
        <f t="shared" si="29"/>
        <v>704.12856289382773</v>
      </c>
    </row>
    <row r="168" spans="1:23" x14ac:dyDescent="0.35">
      <c r="A168" s="70">
        <v>45824</v>
      </c>
      <c r="B168" s="71" t="str">
        <f t="shared" si="22"/>
        <v>Mo</v>
      </c>
      <c r="C168" s="69">
        <f t="shared" si="23"/>
        <v>6</v>
      </c>
      <c r="D168" s="69">
        <v>167</v>
      </c>
      <c r="E168" s="69" t="str">
        <f>IF(OR(COUNTIF(Feiertage_Hessen_2025!$C$4:$C$13,A168)&gt;0,WEEKDAY(A168,2)=7),"FT",IF(WEEKDAY(A168,2)=6,"SA","WT"))</f>
        <v>WT</v>
      </c>
      <c r="F168" s="69">
        <f>INDEX('BDEW-H25 Tagessummen'!$C$4:$C$39, MATCH(C168&amp;"_"&amp;E168, 'BDEW-H25 Tagessummen'!$D$4:$D$39, 0))</f>
        <v>2773.4300000000003</v>
      </c>
      <c r="G168" s="69">
        <f t="shared" si="20"/>
        <v>0.81838420216800012</v>
      </c>
      <c r="H168" s="69">
        <f>Tabelle1[[#This Row],[Profilwert (kWh)]]*Tabelle1[[#This Row],[Dynamisierungsfaktor]]</f>
        <v>2269.731297818797</v>
      </c>
      <c r="I168" s="69">
        <f>Annahmen!$B$5*(H168/SUM($H$2:$H$366))</f>
        <v>11.353565179751708</v>
      </c>
      <c r="J168" s="69">
        <f>Annahmen!$B$6</f>
        <v>130</v>
      </c>
      <c r="K168" s="69">
        <f t="shared" si="24"/>
        <v>1475.9634733677221</v>
      </c>
      <c r="L168" s="69">
        <f>I168*Annahmen!$B$7</f>
        <v>7.9474956258261953</v>
      </c>
      <c r="M168" s="69">
        <f>I168*(1-Annahmen!$B$7)</f>
        <v>3.406069553925513</v>
      </c>
      <c r="N168" s="69">
        <f>Annahmen!$B$8</f>
        <v>78</v>
      </c>
      <c r="O168" s="72">
        <f>INDEX(Quelle_SMARD_Preise_2025!$C$11:$C$375, MATCH($A168,Quelle_SMARD_Preise_2025!$A$11:$A$375, 0))</f>
        <v>81.099999999999994</v>
      </c>
      <c r="P168" s="69">
        <f t="shared" si="25"/>
        <v>619.90465881444322</v>
      </c>
      <c r="Q168" s="69">
        <f t="shared" si="26"/>
        <v>276.23224082335906</v>
      </c>
      <c r="R168" s="73">
        <f>Annahmen!$B$9</f>
        <v>0.05</v>
      </c>
      <c r="S168" s="69">
        <f t="shared" si="27"/>
        <v>0.56767825898758539</v>
      </c>
      <c r="T168" s="69">
        <f t="shared" si="28"/>
        <v>0</v>
      </c>
      <c r="U168" s="74">
        <f>$O168+Annahmen!$B$10+(T168*Annahmen!$B$11)</f>
        <v>89.1</v>
      </c>
      <c r="V168" s="74">
        <f t="shared" si="21"/>
        <v>50.580132875793858</v>
      </c>
      <c r="W168" s="74">
        <f t="shared" si="29"/>
        <v>529.24644085412592</v>
      </c>
    </row>
    <row r="169" spans="1:23" x14ac:dyDescent="0.35">
      <c r="A169" s="70">
        <v>45825</v>
      </c>
      <c r="B169" s="71" t="str">
        <f t="shared" si="22"/>
        <v>Di</v>
      </c>
      <c r="C169" s="69">
        <f t="shared" si="23"/>
        <v>6</v>
      </c>
      <c r="D169" s="69">
        <v>168</v>
      </c>
      <c r="E169" s="69" t="str">
        <f>IF(OR(COUNTIF(Feiertage_Hessen_2025!$C$4:$C$13,A169)&gt;0,WEEKDAY(A169,2)=7),"FT",IF(WEEKDAY(A169,2)=6,"SA","WT"))</f>
        <v>WT</v>
      </c>
      <c r="F169" s="69">
        <f>INDEX('BDEW-H25 Tagessummen'!$C$4:$C$39, MATCH(C169&amp;"_"&amp;E169, 'BDEW-H25 Tagessummen'!$D$4:$D$39, 0))</f>
        <v>2773.4300000000003</v>
      </c>
      <c r="G169" s="69">
        <f t="shared" si="20"/>
        <v>0.81653252300800006</v>
      </c>
      <c r="H169" s="69">
        <f>Tabelle1[[#This Row],[Profilwert (kWh)]]*Tabelle1[[#This Row],[Dynamisierungsfaktor]]</f>
        <v>2264.5957952860776</v>
      </c>
      <c r="I169" s="69">
        <f>Annahmen!$B$5*(H169/SUM($H$2:$H$366))</f>
        <v>11.327876560666251</v>
      </c>
      <c r="J169" s="69">
        <f>Annahmen!$B$6</f>
        <v>130</v>
      </c>
      <c r="K169" s="69">
        <f t="shared" si="24"/>
        <v>1472.6239528866126</v>
      </c>
      <c r="L169" s="69">
        <f>I169*Annahmen!$B$7</f>
        <v>7.9295135924663755</v>
      </c>
      <c r="M169" s="69">
        <f>I169*(1-Annahmen!$B$7)</f>
        <v>3.3983629681998759</v>
      </c>
      <c r="N169" s="69">
        <f>Annahmen!$B$8</f>
        <v>78</v>
      </c>
      <c r="O169" s="72">
        <f>INDEX(Quelle_SMARD_Preise_2025!$C$11:$C$375, MATCH($A169,Quelle_SMARD_Preise_2025!$A$11:$A$375, 0))</f>
        <v>84.65</v>
      </c>
      <c r="P169" s="69">
        <f t="shared" si="25"/>
        <v>618.50206021237727</v>
      </c>
      <c r="Q169" s="69">
        <f t="shared" si="26"/>
        <v>287.67142525811954</v>
      </c>
      <c r="R169" s="73">
        <f>Annahmen!$B$9</f>
        <v>0.05</v>
      </c>
      <c r="S169" s="69">
        <f t="shared" si="27"/>
        <v>0.56639382803331262</v>
      </c>
      <c r="T169" s="69">
        <f t="shared" si="28"/>
        <v>0</v>
      </c>
      <c r="U169" s="74">
        <f>$O169+Annahmen!$B$10+(T169*Annahmen!$B$11)</f>
        <v>92.65</v>
      </c>
      <c r="V169" s="74">
        <f t="shared" si="21"/>
        <v>52.476388167286416</v>
      </c>
      <c r="W169" s="74">
        <f t="shared" si="29"/>
        <v>513.97407924882941</v>
      </c>
    </row>
    <row r="170" spans="1:23" x14ac:dyDescent="0.35">
      <c r="A170" s="70">
        <v>45826</v>
      </c>
      <c r="B170" s="71" t="str">
        <f t="shared" si="22"/>
        <v>Mi</v>
      </c>
      <c r="C170" s="69">
        <f t="shared" si="23"/>
        <v>6</v>
      </c>
      <c r="D170" s="69">
        <v>169</v>
      </c>
      <c r="E170" s="69" t="str">
        <f>IF(OR(COUNTIF(Feiertage_Hessen_2025!$C$4:$C$13,A170)&gt;0,WEEKDAY(A170,2)=7),"FT",IF(WEEKDAY(A170,2)=6,"SA","WT"))</f>
        <v>WT</v>
      </c>
      <c r="F170" s="69">
        <f>INDEX('BDEW-H25 Tagessummen'!$C$4:$C$39, MATCH(C170&amp;"_"&amp;E170, 'BDEW-H25 Tagessummen'!$D$4:$D$39, 0))</f>
        <v>2773.4300000000003</v>
      </c>
      <c r="G170" s="69">
        <f t="shared" si="20"/>
        <v>0.81473023736799988</v>
      </c>
      <c r="H170" s="69">
        <f>Tabelle1[[#This Row],[Profilwert (kWh)]]*Tabelle1[[#This Row],[Dynamisierungsfaktor]]</f>
        <v>2259.5972822235321</v>
      </c>
      <c r="I170" s="69">
        <f>Annahmen!$B$5*(H170/SUM($H$2:$H$366))</f>
        <v>11.302873185195336</v>
      </c>
      <c r="J170" s="69">
        <f>Annahmen!$B$6</f>
        <v>130</v>
      </c>
      <c r="K170" s="69">
        <f t="shared" si="24"/>
        <v>1469.3735140753938</v>
      </c>
      <c r="L170" s="69">
        <f>I170*Annahmen!$B$7</f>
        <v>7.9120112296367351</v>
      </c>
      <c r="M170" s="69">
        <f>I170*(1-Annahmen!$B$7)</f>
        <v>3.3908619555586013</v>
      </c>
      <c r="N170" s="69">
        <f>Annahmen!$B$8</f>
        <v>78</v>
      </c>
      <c r="O170" s="72">
        <f>INDEX(Quelle_SMARD_Preise_2025!$C$11:$C$375, MATCH($A170,Quelle_SMARD_Preise_2025!$A$11:$A$375, 0))</f>
        <v>79.819999999999993</v>
      </c>
      <c r="P170" s="69">
        <f t="shared" si="25"/>
        <v>617.13687591166536</v>
      </c>
      <c r="Q170" s="69">
        <f t="shared" si="26"/>
        <v>270.65860129268754</v>
      </c>
      <c r="R170" s="73">
        <f>Annahmen!$B$9</f>
        <v>0.05</v>
      </c>
      <c r="S170" s="69">
        <f t="shared" si="27"/>
        <v>0.56514365925976684</v>
      </c>
      <c r="T170" s="69">
        <f t="shared" si="28"/>
        <v>0</v>
      </c>
      <c r="U170" s="74">
        <f>$O170+Annahmen!$B$10+(T170*Annahmen!$B$11)</f>
        <v>87.82</v>
      </c>
      <c r="V170" s="74">
        <f t="shared" si="21"/>
        <v>49.630916156192718</v>
      </c>
      <c r="W170" s="74">
        <f t="shared" si="29"/>
        <v>531.94712071484821</v>
      </c>
    </row>
    <row r="171" spans="1:23" x14ac:dyDescent="0.35">
      <c r="A171" s="70">
        <v>45827</v>
      </c>
      <c r="B171" s="71" t="str">
        <f t="shared" si="22"/>
        <v>Do</v>
      </c>
      <c r="C171" s="69">
        <f t="shared" si="23"/>
        <v>6</v>
      </c>
      <c r="D171" s="69">
        <v>170</v>
      </c>
      <c r="E171" s="69" t="str">
        <f>IF(OR(COUNTIF(Feiertage_Hessen_2025!$C$4:$C$13,A171)&gt;0,WEEKDAY(A171,2)=7),"FT",IF(WEEKDAY(A171,2)=6,"SA","WT"))</f>
        <v>FT</v>
      </c>
      <c r="F171" s="69">
        <f>INDEX('BDEW-H25 Tagessummen'!$C$4:$C$39, MATCH(C171&amp;"_"&amp;E171, 'BDEW-H25 Tagessummen'!$D$4:$D$39, 0))</f>
        <v>3216.2230000000009</v>
      </c>
      <c r="G171" s="69">
        <f t="shared" si="20"/>
        <v>0.81297768000000015</v>
      </c>
      <c r="H171" s="69">
        <f>Tabelle1[[#This Row],[Profilwert (kWh)]]*Tabelle1[[#This Row],[Dynamisierungsfaktor]]</f>
        <v>2614.7175129026414</v>
      </c>
      <c r="I171" s="69">
        <f>Annahmen!$B$5*(H171/SUM($H$2:$H$366))</f>
        <v>13.079242348161168</v>
      </c>
      <c r="J171" s="69">
        <f>Annahmen!$B$6</f>
        <v>130</v>
      </c>
      <c r="K171" s="69">
        <f t="shared" si="24"/>
        <v>1700.3015052609519</v>
      </c>
      <c r="L171" s="69">
        <f>I171*Annahmen!$B$7</f>
        <v>9.1554696437128165</v>
      </c>
      <c r="M171" s="69">
        <f>I171*(1-Annahmen!$B$7)</f>
        <v>3.9237727044483512</v>
      </c>
      <c r="N171" s="69">
        <f>Annahmen!$B$8</f>
        <v>78</v>
      </c>
      <c r="O171" s="72">
        <f>INDEX(Quelle_SMARD_Preise_2025!$C$11:$C$375, MATCH($A171,Quelle_SMARD_Preise_2025!$A$11:$A$375, 0))</f>
        <v>56.02</v>
      </c>
      <c r="P171" s="69">
        <f t="shared" si="25"/>
        <v>714.12663220959973</v>
      </c>
      <c r="Q171" s="69">
        <f t="shared" si="26"/>
        <v>219.80974690319664</v>
      </c>
      <c r="R171" s="73">
        <f>Annahmen!$B$9</f>
        <v>0.05</v>
      </c>
      <c r="S171" s="69">
        <f t="shared" si="27"/>
        <v>0.65396211740805843</v>
      </c>
      <c r="T171" s="69">
        <f t="shared" si="28"/>
        <v>0</v>
      </c>
      <c r="U171" s="74">
        <f>$O171+Annahmen!$B$10+(T171*Annahmen!$B$11)</f>
        <v>64.02000000000001</v>
      </c>
      <c r="V171" s="74">
        <f t="shared" si="21"/>
        <v>41.866654756463909</v>
      </c>
      <c r="W171" s="74">
        <f t="shared" si="29"/>
        <v>724.49847139169151</v>
      </c>
    </row>
    <row r="172" spans="1:23" x14ac:dyDescent="0.35">
      <c r="A172" s="70">
        <v>45828</v>
      </c>
      <c r="B172" s="71" t="str">
        <f t="shared" si="22"/>
        <v>Fr</v>
      </c>
      <c r="C172" s="69">
        <f t="shared" si="23"/>
        <v>6</v>
      </c>
      <c r="D172" s="69">
        <v>171</v>
      </c>
      <c r="E172" s="69" t="str">
        <f>IF(OR(COUNTIF(Feiertage_Hessen_2025!$C$4:$C$13,A172)&gt;0,WEEKDAY(A172,2)=7),"FT",IF(WEEKDAY(A172,2)=6,"SA","WT"))</f>
        <v>WT</v>
      </c>
      <c r="F172" s="69">
        <f>INDEX('BDEW-H25 Tagessummen'!$C$4:$C$39, MATCH(C172&amp;"_"&amp;E172, 'BDEW-H25 Tagessummen'!$D$4:$D$39, 0))</f>
        <v>2773.4300000000003</v>
      </c>
      <c r="G172" s="69">
        <f t="shared" si="20"/>
        <v>0.81127517624799994</v>
      </c>
      <c r="H172" s="69">
        <f>Tabelle1[[#This Row],[Profilwert (kWh)]]*Tabelle1[[#This Row],[Dynamisierungsfaktor]]</f>
        <v>2250.0149120614906</v>
      </c>
      <c r="I172" s="69">
        <f>Annahmen!$B$5*(H172/SUM($H$2:$H$366))</f>
        <v>11.254940610834751</v>
      </c>
      <c r="J172" s="69">
        <f>Annahmen!$B$6</f>
        <v>130</v>
      </c>
      <c r="K172" s="69">
        <f t="shared" si="24"/>
        <v>1463.1422794085177</v>
      </c>
      <c r="L172" s="69">
        <f>I172*Annahmen!$B$7</f>
        <v>7.8784584275843255</v>
      </c>
      <c r="M172" s="69">
        <f>I172*(1-Annahmen!$B$7)</f>
        <v>3.3764821832504257</v>
      </c>
      <c r="N172" s="69">
        <f>Annahmen!$B$8</f>
        <v>78</v>
      </c>
      <c r="O172" s="72">
        <f>INDEX(Quelle_SMARD_Preise_2025!$C$11:$C$375, MATCH($A172,Quelle_SMARD_Preise_2025!$A$11:$A$375, 0))</f>
        <v>87.05</v>
      </c>
      <c r="P172" s="69">
        <f t="shared" si="25"/>
        <v>614.51975735157737</v>
      </c>
      <c r="Q172" s="69">
        <f t="shared" si="26"/>
        <v>293.92277405194955</v>
      </c>
      <c r="R172" s="73">
        <f>Annahmen!$B$9</f>
        <v>0.05</v>
      </c>
      <c r="S172" s="69">
        <f t="shared" si="27"/>
        <v>0.56274703054173758</v>
      </c>
      <c r="T172" s="69">
        <f t="shared" si="28"/>
        <v>1</v>
      </c>
      <c r="U172" s="74">
        <f>$O172+Annahmen!$B$10+(T172*Annahmen!$B$11)</f>
        <v>215.05</v>
      </c>
      <c r="V172" s="74">
        <f t="shared" si="21"/>
        <v>121.01874891800067</v>
      </c>
      <c r="W172" s="74">
        <f t="shared" si="29"/>
        <v>433.68099908699008</v>
      </c>
    </row>
    <row r="173" spans="1:23" x14ac:dyDescent="0.35">
      <c r="A173" s="70">
        <v>45829</v>
      </c>
      <c r="B173" s="71" t="str">
        <f t="shared" si="22"/>
        <v>Sa</v>
      </c>
      <c r="C173" s="69">
        <f t="shared" si="23"/>
        <v>6</v>
      </c>
      <c r="D173" s="69">
        <v>172</v>
      </c>
      <c r="E173" s="69" t="str">
        <f>IF(OR(COUNTIF(Feiertage_Hessen_2025!$C$4:$C$13,A173)&gt;0,WEEKDAY(A173,2)=7),"FT",IF(WEEKDAY(A173,2)=6,"SA","WT"))</f>
        <v>SA</v>
      </c>
      <c r="F173" s="69">
        <f>INDEX('BDEW-H25 Tagessummen'!$C$4:$C$39, MATCH(C173&amp;"_"&amp;E173, 'BDEW-H25 Tagessummen'!$D$4:$D$39, 0))</f>
        <v>3139.6210000000001</v>
      </c>
      <c r="G173" s="69">
        <f t="shared" si="20"/>
        <v>0.80962304204800029</v>
      </c>
      <c r="H173" s="69">
        <f>Tabelle1[[#This Row],[Profilwert (kWh)]]*Tabelle1[[#This Row],[Dynamisierungsfaktor]]</f>
        <v>2541.9095048977847</v>
      </c>
      <c r="I173" s="69">
        <f>Annahmen!$B$5*(H173/SUM($H$2:$H$366))</f>
        <v>12.715044848093468</v>
      </c>
      <c r="J173" s="69">
        <f>Annahmen!$B$6</f>
        <v>130</v>
      </c>
      <c r="K173" s="69">
        <f t="shared" si="24"/>
        <v>1652.9558302521509</v>
      </c>
      <c r="L173" s="69">
        <f>I173*Annahmen!$B$7</f>
        <v>8.9005313936654264</v>
      </c>
      <c r="M173" s="69">
        <f>I173*(1-Annahmen!$B$7)</f>
        <v>3.8145134544280408</v>
      </c>
      <c r="N173" s="69">
        <f>Annahmen!$B$8</f>
        <v>78</v>
      </c>
      <c r="O173" s="72">
        <f>INDEX(Quelle_SMARD_Preise_2025!$C$11:$C$375, MATCH($A173,Quelle_SMARD_Preise_2025!$A$11:$A$375, 0))</f>
        <v>72.61</v>
      </c>
      <c r="P173" s="69">
        <f t="shared" si="25"/>
        <v>694.24144870590328</v>
      </c>
      <c r="Q173" s="69">
        <f t="shared" si="26"/>
        <v>276.97182192602003</v>
      </c>
      <c r="R173" s="73">
        <f>Annahmen!$B$9</f>
        <v>0.05</v>
      </c>
      <c r="S173" s="69">
        <f t="shared" si="27"/>
        <v>0.63575224240467343</v>
      </c>
      <c r="T173" s="69">
        <f t="shared" si="28"/>
        <v>0</v>
      </c>
      <c r="U173" s="74">
        <f>$O173+Annahmen!$B$10+(T173*Annahmen!$B$11)</f>
        <v>80.61</v>
      </c>
      <c r="V173" s="74">
        <f t="shared" si="21"/>
        <v>51.247988260240724</v>
      </c>
      <c r="W173" s="74">
        <f t="shared" si="29"/>
        <v>630.49457135998694</v>
      </c>
    </row>
    <row r="174" spans="1:23" x14ac:dyDescent="0.35">
      <c r="A174" s="70">
        <v>45830</v>
      </c>
      <c r="B174" s="71" t="str">
        <f t="shared" si="22"/>
        <v>So</v>
      </c>
      <c r="C174" s="69">
        <f t="shared" si="23"/>
        <v>6</v>
      </c>
      <c r="D174" s="69">
        <v>173</v>
      </c>
      <c r="E174" s="69" t="str">
        <f>IF(OR(COUNTIF(Feiertage_Hessen_2025!$C$4:$C$13,A174)&gt;0,WEEKDAY(A174,2)=7),"FT",IF(WEEKDAY(A174,2)=6,"SA","WT"))</f>
        <v>FT</v>
      </c>
      <c r="F174" s="69">
        <f>INDEX('BDEW-H25 Tagessummen'!$C$4:$C$39, MATCH(C174&amp;"_"&amp;E174, 'BDEW-H25 Tagessummen'!$D$4:$D$39, 0))</f>
        <v>3216.2230000000009</v>
      </c>
      <c r="G174" s="69">
        <f t="shared" si="20"/>
        <v>0.80802158392800039</v>
      </c>
      <c r="H174" s="69">
        <f>Tabelle1[[#This Row],[Profilwert (kWh)]]*Tabelle1[[#This Row],[Dynamisierungsfaktor]]</f>
        <v>2598.7776027256659</v>
      </c>
      <c r="I174" s="69">
        <f>Annahmen!$B$5*(H174/SUM($H$2:$H$366))</f>
        <v>12.999508324434398</v>
      </c>
      <c r="J174" s="69">
        <f>Annahmen!$B$6</f>
        <v>130</v>
      </c>
      <c r="K174" s="69">
        <f t="shared" si="24"/>
        <v>1689.9360821764717</v>
      </c>
      <c r="L174" s="69">
        <f>I174*Annahmen!$B$7</f>
        <v>9.0996558271040779</v>
      </c>
      <c r="M174" s="69">
        <f>I174*(1-Annahmen!$B$7)</f>
        <v>3.8998524973303201</v>
      </c>
      <c r="N174" s="69">
        <f>Annahmen!$B$8</f>
        <v>78</v>
      </c>
      <c r="O174" s="72">
        <f>INDEX(Quelle_SMARD_Preise_2025!$C$11:$C$375, MATCH($A174,Quelle_SMARD_Preise_2025!$A$11:$A$375, 0))</f>
        <v>41.47</v>
      </c>
      <c r="P174" s="69">
        <f t="shared" si="25"/>
        <v>709.77315451411812</v>
      </c>
      <c r="Q174" s="69">
        <f t="shared" si="26"/>
        <v>161.72688306428836</v>
      </c>
      <c r="R174" s="73">
        <f>Annahmen!$B$9</f>
        <v>0.05</v>
      </c>
      <c r="S174" s="69">
        <f t="shared" si="27"/>
        <v>0.64997541622171995</v>
      </c>
      <c r="T174" s="69">
        <f t="shared" si="28"/>
        <v>0</v>
      </c>
      <c r="U174" s="74">
        <f>$O174+Annahmen!$B$10+(T174*Annahmen!$B$11)</f>
        <v>49.47</v>
      </c>
      <c r="V174" s="74">
        <f t="shared" si="21"/>
        <v>32.154283840488482</v>
      </c>
      <c r="W174" s="74">
        <f t="shared" si="29"/>
        <v>786.28176075757676</v>
      </c>
    </row>
    <row r="175" spans="1:23" x14ac:dyDescent="0.35">
      <c r="A175" s="70">
        <v>45831</v>
      </c>
      <c r="B175" s="71" t="str">
        <f t="shared" si="22"/>
        <v>Mo</v>
      </c>
      <c r="C175" s="69">
        <f t="shared" si="23"/>
        <v>6</v>
      </c>
      <c r="D175" s="69">
        <v>174</v>
      </c>
      <c r="E175" s="69" t="str">
        <f>IF(OR(COUNTIF(Feiertage_Hessen_2025!$C$4:$C$13,A175)&gt;0,WEEKDAY(A175,2)=7),"FT",IF(WEEKDAY(A175,2)=6,"SA","WT"))</f>
        <v>WT</v>
      </c>
      <c r="F175" s="69">
        <f>INDEX('BDEW-H25 Tagessummen'!$C$4:$C$39, MATCH(C175&amp;"_"&amp;E175, 'BDEW-H25 Tagessummen'!$D$4:$D$39, 0))</f>
        <v>2773.4300000000003</v>
      </c>
      <c r="G175" s="69">
        <f t="shared" si="20"/>
        <v>0.80647109900800007</v>
      </c>
      <c r="H175" s="69">
        <f>Tabelle1[[#This Row],[Profilwert (kWh)]]*Tabelle1[[#This Row],[Dynamisierungsfaktor]]</f>
        <v>2236.6911401217581</v>
      </c>
      <c r="I175" s="69">
        <f>Annahmen!$B$5*(H175/SUM($H$2:$H$366))</f>
        <v>11.188292936150408</v>
      </c>
      <c r="J175" s="69">
        <f>Annahmen!$B$6</f>
        <v>130</v>
      </c>
      <c r="K175" s="69">
        <f t="shared" si="24"/>
        <v>1454.4780816995531</v>
      </c>
      <c r="L175" s="69">
        <f>I175*Annahmen!$B$7</f>
        <v>7.8318050553052849</v>
      </c>
      <c r="M175" s="69">
        <f>I175*(1-Annahmen!$B$7)</f>
        <v>3.3564878808451226</v>
      </c>
      <c r="N175" s="69">
        <f>Annahmen!$B$8</f>
        <v>78</v>
      </c>
      <c r="O175" s="72">
        <f>INDEX(Quelle_SMARD_Preise_2025!$C$11:$C$375, MATCH($A175,Quelle_SMARD_Preise_2025!$A$11:$A$375, 0))</f>
        <v>38.74</v>
      </c>
      <c r="P175" s="69">
        <f t="shared" si="25"/>
        <v>610.8807943138122</v>
      </c>
      <c r="Q175" s="69">
        <f t="shared" si="26"/>
        <v>130.03034050394007</v>
      </c>
      <c r="R175" s="73">
        <f>Annahmen!$B$9</f>
        <v>0.05</v>
      </c>
      <c r="S175" s="69">
        <f t="shared" si="27"/>
        <v>0.5594146468075204</v>
      </c>
      <c r="T175" s="69">
        <f t="shared" si="28"/>
        <v>1</v>
      </c>
      <c r="U175" s="74">
        <f>$O175+Annahmen!$B$10+(T175*Annahmen!$B$11)</f>
        <v>166.74</v>
      </c>
      <c r="V175" s="74">
        <f t="shared" si="21"/>
        <v>93.27679820868596</v>
      </c>
      <c r="W175" s="74">
        <f t="shared" si="29"/>
        <v>620.2901486731148</v>
      </c>
    </row>
    <row r="176" spans="1:23" x14ac:dyDescent="0.35">
      <c r="A176" s="70">
        <v>45832</v>
      </c>
      <c r="B176" s="71" t="str">
        <f t="shared" si="22"/>
        <v>Di</v>
      </c>
      <c r="C176" s="69">
        <f t="shared" si="23"/>
        <v>6</v>
      </c>
      <c r="D176" s="69">
        <v>175</v>
      </c>
      <c r="E176" s="69" t="str">
        <f>IF(OR(COUNTIF(Feiertage_Hessen_2025!$C$4:$C$13,A176)&gt;0,WEEKDAY(A176,2)=7),"FT",IF(WEEKDAY(A176,2)=6,"SA","WT"))</f>
        <v>WT</v>
      </c>
      <c r="F176" s="69">
        <f>INDEX('BDEW-H25 Tagessummen'!$C$4:$C$39, MATCH(C176&amp;"_"&amp;E176, 'BDEW-H25 Tagessummen'!$D$4:$D$39, 0))</f>
        <v>2773.4300000000003</v>
      </c>
      <c r="G176" s="69">
        <f t="shared" si="20"/>
        <v>0.80497187500000045</v>
      </c>
      <c r="H176" s="69">
        <f>Tabelle1[[#This Row],[Profilwert (kWh)]]*Tabelle1[[#This Row],[Dynamisierungsfaktor]]</f>
        <v>2232.5331472812513</v>
      </c>
      <c r="I176" s="69">
        <f>Annahmen!$B$5*(H176/SUM($H$2:$H$366))</f>
        <v>11.167493979561581</v>
      </c>
      <c r="J176" s="69">
        <f>Annahmen!$B$6</f>
        <v>130</v>
      </c>
      <c r="K176" s="69">
        <f t="shared" si="24"/>
        <v>1451.7742173430054</v>
      </c>
      <c r="L176" s="69">
        <f>I176*Annahmen!$B$7</f>
        <v>7.8172457856931059</v>
      </c>
      <c r="M176" s="69">
        <f>I176*(1-Annahmen!$B$7)</f>
        <v>3.3502481938684747</v>
      </c>
      <c r="N176" s="69">
        <f>Annahmen!$B$8</f>
        <v>78</v>
      </c>
      <c r="O176" s="72">
        <f>INDEX(Quelle_SMARD_Preise_2025!$C$11:$C$375, MATCH($A176,Quelle_SMARD_Preise_2025!$A$11:$A$375, 0))</f>
        <v>47.22</v>
      </c>
      <c r="P176" s="69">
        <f t="shared" si="25"/>
        <v>609.74517128406228</v>
      </c>
      <c r="Q176" s="69">
        <f t="shared" si="26"/>
        <v>158.19871971446938</v>
      </c>
      <c r="R176" s="73">
        <f>Annahmen!$B$9</f>
        <v>0.05</v>
      </c>
      <c r="S176" s="69">
        <f t="shared" si="27"/>
        <v>0.55837469897807901</v>
      </c>
      <c r="T176" s="69">
        <f t="shared" si="28"/>
        <v>1</v>
      </c>
      <c r="U176" s="74">
        <f>$O176+Annahmen!$B$10+(T176*Annahmen!$B$11)</f>
        <v>175.22</v>
      </c>
      <c r="V176" s="74">
        <f t="shared" si="21"/>
        <v>97.838414754939009</v>
      </c>
      <c r="W176" s="74">
        <f t="shared" si="29"/>
        <v>585.99191158953477</v>
      </c>
    </row>
    <row r="177" spans="1:23" x14ac:dyDescent="0.35">
      <c r="A177" s="70">
        <v>45833</v>
      </c>
      <c r="B177" s="71" t="str">
        <f t="shared" si="22"/>
        <v>Mi</v>
      </c>
      <c r="C177" s="69">
        <f t="shared" si="23"/>
        <v>6</v>
      </c>
      <c r="D177" s="69">
        <v>176</v>
      </c>
      <c r="E177" s="69" t="str">
        <f>IF(OR(COUNTIF(Feiertage_Hessen_2025!$C$4:$C$13,A177)&gt;0,WEEKDAY(A177,2)=7),"FT",IF(WEEKDAY(A177,2)=6,"SA","WT"))</f>
        <v>WT</v>
      </c>
      <c r="F177" s="69">
        <f>INDEX('BDEW-H25 Tagessummen'!$C$4:$C$39, MATCH(C177&amp;"_"&amp;E177, 'BDEW-H25 Tagessummen'!$D$4:$D$39, 0))</f>
        <v>2773.4300000000003</v>
      </c>
      <c r="G177" s="69">
        <f t="shared" si="20"/>
        <v>0.80352419020800003</v>
      </c>
      <c r="H177" s="69">
        <f>Tabelle1[[#This Row],[Profilwert (kWh)]]*Tabelle1[[#This Row],[Dynamisierungsfaktor]]</f>
        <v>2228.5180948485736</v>
      </c>
      <c r="I177" s="69">
        <f>Annahmen!$B$5*(H177/SUM($H$2:$H$366))</f>
        <v>11.147410034145517</v>
      </c>
      <c r="J177" s="69">
        <f>Annahmen!$B$6</f>
        <v>130</v>
      </c>
      <c r="K177" s="69">
        <f t="shared" si="24"/>
        <v>1449.1633044389173</v>
      </c>
      <c r="L177" s="69">
        <f>I177*Annahmen!$B$7</f>
        <v>7.8031870239018613</v>
      </c>
      <c r="M177" s="69">
        <f>I177*(1-Annahmen!$B$7)</f>
        <v>3.3442230102436556</v>
      </c>
      <c r="N177" s="69">
        <f>Annahmen!$B$8</f>
        <v>78</v>
      </c>
      <c r="O177" s="72">
        <f>INDEX(Quelle_SMARD_Preise_2025!$C$11:$C$375, MATCH($A177,Quelle_SMARD_Preise_2025!$A$11:$A$375, 0))</f>
        <v>80.150000000000006</v>
      </c>
      <c r="P177" s="69">
        <f t="shared" si="25"/>
        <v>608.64858786434513</v>
      </c>
      <c r="Q177" s="69">
        <f t="shared" si="26"/>
        <v>268.03947427102901</v>
      </c>
      <c r="R177" s="73">
        <f>Annahmen!$B$9</f>
        <v>0.05</v>
      </c>
      <c r="S177" s="69">
        <f t="shared" si="27"/>
        <v>0.55737050170727587</v>
      </c>
      <c r="T177" s="69">
        <f t="shared" si="28"/>
        <v>1</v>
      </c>
      <c r="U177" s="74">
        <f>$O177+Annahmen!$B$10+(T177*Annahmen!$B$11)</f>
        <v>208.15</v>
      </c>
      <c r="V177" s="74">
        <f t="shared" si="21"/>
        <v>116.01666993036947</v>
      </c>
      <c r="W177" s="74">
        <f t="shared" si="29"/>
        <v>456.45857237317369</v>
      </c>
    </row>
    <row r="178" spans="1:23" x14ac:dyDescent="0.35">
      <c r="A178" s="70">
        <v>45834</v>
      </c>
      <c r="B178" s="71" t="str">
        <f t="shared" si="22"/>
        <v>Do</v>
      </c>
      <c r="C178" s="69">
        <f t="shared" si="23"/>
        <v>6</v>
      </c>
      <c r="D178" s="69">
        <v>177</v>
      </c>
      <c r="E178" s="69" t="str">
        <f>IF(OR(COUNTIF(Feiertage_Hessen_2025!$C$4:$C$13,A178)&gt;0,WEEKDAY(A178,2)=7),"FT",IF(WEEKDAY(A178,2)=6,"SA","WT"))</f>
        <v>WT</v>
      </c>
      <c r="F178" s="69">
        <f>INDEX('BDEW-H25 Tagessummen'!$C$4:$C$39, MATCH(C178&amp;"_"&amp;E178, 'BDEW-H25 Tagessummen'!$D$4:$D$39, 0))</f>
        <v>2773.4300000000003</v>
      </c>
      <c r="G178" s="69">
        <f t="shared" si="20"/>
        <v>0.80212831352800029</v>
      </c>
      <c r="H178" s="69">
        <f>Tabelle1[[#This Row],[Profilwert (kWh)]]*Tabelle1[[#This Row],[Dynamisierungsfaktor]]</f>
        <v>2224.6467285879621</v>
      </c>
      <c r="I178" s="69">
        <f>Annahmen!$B$5*(H178/SUM($H$2:$H$366))</f>
        <v>11.128044830336243</v>
      </c>
      <c r="J178" s="69">
        <f>Annahmen!$B$6</f>
        <v>130</v>
      </c>
      <c r="K178" s="69">
        <f t="shared" si="24"/>
        <v>1446.6458279437115</v>
      </c>
      <c r="L178" s="69">
        <f>I178*Annahmen!$B$7</f>
        <v>7.7896313812353695</v>
      </c>
      <c r="M178" s="69">
        <f>I178*(1-Annahmen!$B$7)</f>
        <v>3.3384134491008735</v>
      </c>
      <c r="N178" s="69">
        <f>Annahmen!$B$8</f>
        <v>78</v>
      </c>
      <c r="O178" s="72">
        <f>INDEX(Quelle_SMARD_Preise_2025!$C$11:$C$375, MATCH($A178,Quelle_SMARD_Preise_2025!$A$11:$A$375, 0))</f>
        <v>91.36</v>
      </c>
      <c r="P178" s="69">
        <f t="shared" si="25"/>
        <v>607.59124773635881</v>
      </c>
      <c r="Q178" s="69">
        <f t="shared" si="26"/>
        <v>304.99745270985579</v>
      </c>
      <c r="R178" s="73">
        <f>Annahmen!$B$9</f>
        <v>0.05</v>
      </c>
      <c r="S178" s="69">
        <f t="shared" si="27"/>
        <v>0.55640224151681217</v>
      </c>
      <c r="T178" s="69">
        <f t="shared" si="28"/>
        <v>1</v>
      </c>
      <c r="U178" s="74">
        <f>$O178+Annahmen!$B$10+(T178*Annahmen!$B$11)</f>
        <v>219.36</v>
      </c>
      <c r="V178" s="74">
        <f t="shared" si="21"/>
        <v>122.05239569912793</v>
      </c>
      <c r="W178" s="74">
        <f t="shared" si="29"/>
        <v>412.00473179836899</v>
      </c>
    </row>
    <row r="179" spans="1:23" x14ac:dyDescent="0.35">
      <c r="A179" s="70">
        <v>45835</v>
      </c>
      <c r="B179" s="71" t="str">
        <f t="shared" si="22"/>
        <v>Fr</v>
      </c>
      <c r="C179" s="69">
        <f t="shared" si="23"/>
        <v>6</v>
      </c>
      <c r="D179" s="69">
        <v>178</v>
      </c>
      <c r="E179" s="69" t="str">
        <f>IF(OR(COUNTIF(Feiertage_Hessen_2025!$C$4:$C$13,A179)&gt;0,WEEKDAY(A179,2)=7),"FT",IF(WEEKDAY(A179,2)=6,"SA","WT"))</f>
        <v>WT</v>
      </c>
      <c r="F179" s="69">
        <f>INDEX('BDEW-H25 Tagessummen'!$C$4:$C$39, MATCH(C179&amp;"_"&amp;E179, 'BDEW-H25 Tagessummen'!$D$4:$D$39, 0))</f>
        <v>2773.4300000000003</v>
      </c>
      <c r="G179" s="69">
        <f t="shared" si="20"/>
        <v>0.80078450444800042</v>
      </c>
      <c r="H179" s="69">
        <f>Tabelle1[[#This Row],[Profilwert (kWh)]]*Tabelle1[[#This Row],[Dynamisierungsfaktor]]</f>
        <v>2220.919768171218</v>
      </c>
      <c r="I179" s="69">
        <f>Annahmen!$B$5*(H179/SUM($H$2:$H$366))</f>
        <v>11.109401968049186</v>
      </c>
      <c r="J179" s="69">
        <f>Annahmen!$B$6</f>
        <v>130</v>
      </c>
      <c r="K179" s="69">
        <f t="shared" si="24"/>
        <v>1444.2222558463941</v>
      </c>
      <c r="L179" s="69">
        <f>I179*Annahmen!$B$7</f>
        <v>7.7765813776344297</v>
      </c>
      <c r="M179" s="69">
        <f>I179*(1-Annahmen!$B$7)</f>
        <v>3.3328205904147561</v>
      </c>
      <c r="N179" s="69">
        <f>Annahmen!$B$8</f>
        <v>78</v>
      </c>
      <c r="O179" s="72">
        <f>INDEX(Quelle_SMARD_Preise_2025!$C$11:$C$375, MATCH($A179,Quelle_SMARD_Preise_2025!$A$11:$A$375, 0))</f>
        <v>81.19</v>
      </c>
      <c r="P179" s="69">
        <f t="shared" si="25"/>
        <v>606.57334745548553</v>
      </c>
      <c r="Q179" s="69">
        <f t="shared" si="26"/>
        <v>270.59170373577405</v>
      </c>
      <c r="R179" s="73">
        <f>Annahmen!$B$9</f>
        <v>0.05</v>
      </c>
      <c r="S179" s="69">
        <f t="shared" si="27"/>
        <v>0.55547009840245931</v>
      </c>
      <c r="T179" s="69">
        <f t="shared" si="28"/>
        <v>1</v>
      </c>
      <c r="U179" s="74">
        <f>$O179+Annahmen!$B$10+(T179*Annahmen!$B$11)</f>
        <v>209.19</v>
      </c>
      <c r="V179" s="74">
        <f t="shared" si="21"/>
        <v>116.19878988481047</v>
      </c>
      <c r="W179" s="74">
        <f t="shared" si="29"/>
        <v>450.85841477032398</v>
      </c>
    </row>
    <row r="180" spans="1:23" x14ac:dyDescent="0.35">
      <c r="A180" s="70">
        <v>45836</v>
      </c>
      <c r="B180" s="71" t="str">
        <f t="shared" si="22"/>
        <v>Sa</v>
      </c>
      <c r="C180" s="69">
        <f t="shared" si="23"/>
        <v>6</v>
      </c>
      <c r="D180" s="69">
        <v>179</v>
      </c>
      <c r="E180" s="69" t="str">
        <f>IF(OR(COUNTIF(Feiertage_Hessen_2025!$C$4:$C$13,A180)&gt;0,WEEKDAY(A180,2)=7),"FT",IF(WEEKDAY(A180,2)=6,"SA","WT"))</f>
        <v>SA</v>
      </c>
      <c r="F180" s="69">
        <f>INDEX('BDEW-H25 Tagessummen'!$C$4:$C$39, MATCH(C180&amp;"_"&amp;E180, 'BDEW-H25 Tagessummen'!$D$4:$D$39, 0))</f>
        <v>3139.6210000000001</v>
      </c>
      <c r="G180" s="69">
        <f t="shared" si="20"/>
        <v>0.79949301304800025</v>
      </c>
      <c r="H180" s="69">
        <f>Tabelle1[[#This Row],[Profilwert (kWh)]]*Tabelle1[[#This Row],[Dynamisierungsfaktor]]</f>
        <v>2510.1050531187757</v>
      </c>
      <c r="I180" s="69">
        <f>Annahmen!$B$5*(H180/SUM($H$2:$H$366))</f>
        <v>12.555953806512353</v>
      </c>
      <c r="J180" s="69">
        <f>Annahmen!$B$6</f>
        <v>130</v>
      </c>
      <c r="K180" s="69">
        <f t="shared" si="24"/>
        <v>1632.2739948466058</v>
      </c>
      <c r="L180" s="69">
        <f>I180*Annahmen!$B$7</f>
        <v>8.7891676645586454</v>
      </c>
      <c r="M180" s="69">
        <f>I180*(1-Annahmen!$B$7)</f>
        <v>3.7667861419537063</v>
      </c>
      <c r="N180" s="69">
        <f>Annahmen!$B$8</f>
        <v>78</v>
      </c>
      <c r="O180" s="72">
        <f>INDEX(Quelle_SMARD_Preise_2025!$C$11:$C$375, MATCH($A180,Quelle_SMARD_Preise_2025!$A$11:$A$375, 0))</f>
        <v>52.51</v>
      </c>
      <c r="P180" s="69">
        <f t="shared" si="25"/>
        <v>685.55507783557437</v>
      </c>
      <c r="Q180" s="69">
        <f t="shared" si="26"/>
        <v>197.79394031398911</v>
      </c>
      <c r="R180" s="73">
        <f>Annahmen!$B$9</f>
        <v>0.05</v>
      </c>
      <c r="S180" s="69">
        <f t="shared" si="27"/>
        <v>0.62779769032561772</v>
      </c>
      <c r="T180" s="69">
        <f t="shared" si="28"/>
        <v>0</v>
      </c>
      <c r="U180" s="74">
        <f>$O180+Annahmen!$B$10+(T180*Annahmen!$B$11)</f>
        <v>60.51</v>
      </c>
      <c r="V180" s="74">
        <f t="shared" si="21"/>
        <v>37.988038241603128</v>
      </c>
      <c r="W180" s="74">
        <f t="shared" si="29"/>
        <v>710.93693845543919</v>
      </c>
    </row>
    <row r="181" spans="1:23" x14ac:dyDescent="0.35">
      <c r="A181" s="70">
        <v>45837</v>
      </c>
      <c r="B181" s="71" t="str">
        <f t="shared" si="22"/>
        <v>So</v>
      </c>
      <c r="C181" s="69">
        <f t="shared" si="23"/>
        <v>6</v>
      </c>
      <c r="D181" s="69">
        <v>180</v>
      </c>
      <c r="E181" s="69" t="str">
        <f>IF(OR(COUNTIF(Feiertage_Hessen_2025!$C$4:$C$13,A181)&gt;0,WEEKDAY(A181,2)=7),"FT",IF(WEEKDAY(A181,2)=6,"SA","WT"))</f>
        <v>FT</v>
      </c>
      <c r="F181" s="69">
        <f>INDEX('BDEW-H25 Tagessummen'!$C$4:$C$39, MATCH(C181&amp;"_"&amp;E181, 'BDEW-H25 Tagessummen'!$D$4:$D$39, 0))</f>
        <v>3216.2230000000009</v>
      </c>
      <c r="G181" s="69">
        <f t="shared" si="20"/>
        <v>0.7982540800000002</v>
      </c>
      <c r="H181" s="69">
        <f>Tabelle1[[#This Row],[Profilwert (kWh)]]*Tabelle1[[#This Row],[Dynamisierungsfaktor]]</f>
        <v>2567.3631319398414</v>
      </c>
      <c r="I181" s="69">
        <f>Annahmen!$B$5*(H181/SUM($H$2:$H$366))</f>
        <v>12.842368031221268</v>
      </c>
      <c r="J181" s="69">
        <f>Annahmen!$B$6</f>
        <v>130</v>
      </c>
      <c r="K181" s="69">
        <f t="shared" si="24"/>
        <v>1669.5078440587647</v>
      </c>
      <c r="L181" s="69">
        <f>I181*Annahmen!$B$7</f>
        <v>8.9896576218548869</v>
      </c>
      <c r="M181" s="69">
        <f>I181*(1-Annahmen!$B$7)</f>
        <v>3.8527104093663809</v>
      </c>
      <c r="N181" s="69">
        <f>Annahmen!$B$8</f>
        <v>78</v>
      </c>
      <c r="O181" s="72">
        <f>INDEX(Quelle_SMARD_Preise_2025!$C$11:$C$375, MATCH($A181,Quelle_SMARD_Preise_2025!$A$11:$A$375, 0))</f>
        <v>54.12</v>
      </c>
      <c r="P181" s="69">
        <f t="shared" si="25"/>
        <v>701.19329450468115</v>
      </c>
      <c r="Q181" s="69">
        <f t="shared" si="26"/>
        <v>208.50868735490852</v>
      </c>
      <c r="R181" s="73">
        <f>Annahmen!$B$9</f>
        <v>0.05</v>
      </c>
      <c r="S181" s="69">
        <f t="shared" si="27"/>
        <v>0.64211840156106348</v>
      </c>
      <c r="T181" s="69">
        <f t="shared" si="28"/>
        <v>0</v>
      </c>
      <c r="U181" s="74">
        <f>$O181+Annahmen!$B$10+(T181*Annahmen!$B$11)</f>
        <v>62.12</v>
      </c>
      <c r="V181" s="74">
        <f t="shared" si="21"/>
        <v>39.888395104973263</v>
      </c>
      <c r="W181" s="74">
        <f t="shared" si="29"/>
        <v>719.91746709420181</v>
      </c>
    </row>
    <row r="182" spans="1:23" x14ac:dyDescent="0.35">
      <c r="A182" s="70">
        <v>45838</v>
      </c>
      <c r="B182" s="71" t="str">
        <f t="shared" si="22"/>
        <v>Mo</v>
      </c>
      <c r="C182" s="69">
        <f t="shared" si="23"/>
        <v>6</v>
      </c>
      <c r="D182" s="69">
        <v>181</v>
      </c>
      <c r="E182" s="69" t="str">
        <f>IF(OR(COUNTIF(Feiertage_Hessen_2025!$C$4:$C$13,A182)&gt;0,WEEKDAY(A182,2)=7),"FT",IF(WEEKDAY(A182,2)=6,"SA","WT"))</f>
        <v>WT</v>
      </c>
      <c r="F182" s="69">
        <f>INDEX('BDEW-H25 Tagessummen'!$C$4:$C$39, MATCH(C182&amp;"_"&amp;E182, 'BDEW-H25 Tagessummen'!$D$4:$D$39, 0))</f>
        <v>2773.4300000000003</v>
      </c>
      <c r="G182" s="69">
        <f t="shared" si="20"/>
        <v>0.79706793656800023</v>
      </c>
      <c r="H182" s="69">
        <f>Tabelle1[[#This Row],[Profilwert (kWh)]]*Tabelle1[[#This Row],[Dynamisierungsfaktor]]</f>
        <v>2210.6121273157892</v>
      </c>
      <c r="I182" s="69">
        <f>Annahmen!$B$5*(H182/SUM($H$2:$H$366))</f>
        <v>11.057841471697021</v>
      </c>
      <c r="J182" s="69">
        <f>Annahmen!$B$6</f>
        <v>130</v>
      </c>
      <c r="K182" s="69">
        <f t="shared" si="24"/>
        <v>1437.5193913206126</v>
      </c>
      <c r="L182" s="69">
        <f>I182*Annahmen!$B$7</f>
        <v>7.7404890301879137</v>
      </c>
      <c r="M182" s="69">
        <f>I182*(1-Annahmen!$B$7)</f>
        <v>3.3173524415091067</v>
      </c>
      <c r="N182" s="69">
        <f>Annahmen!$B$8</f>
        <v>78</v>
      </c>
      <c r="O182" s="72">
        <f>INDEX(Quelle_SMARD_Preise_2025!$C$11:$C$375, MATCH($A182,Quelle_SMARD_Preise_2025!$A$11:$A$375, 0))</f>
        <v>102.42</v>
      </c>
      <c r="P182" s="69">
        <f t="shared" si="25"/>
        <v>603.75814435465725</v>
      </c>
      <c r="Q182" s="69">
        <f t="shared" si="26"/>
        <v>339.76323705936272</v>
      </c>
      <c r="R182" s="73">
        <f>Annahmen!$B$9</f>
        <v>0.05</v>
      </c>
      <c r="S182" s="69">
        <f t="shared" si="27"/>
        <v>0.55289207358485104</v>
      </c>
      <c r="T182" s="69">
        <f t="shared" si="28"/>
        <v>1</v>
      </c>
      <c r="U182" s="74">
        <f>$O182+Annahmen!$B$10+(T182*Annahmen!$B$11)</f>
        <v>230.42000000000002</v>
      </c>
      <c r="V182" s="74">
        <f t="shared" si="21"/>
        <v>127.39739159542138</v>
      </c>
      <c r="W182" s="74">
        <f t="shared" si="29"/>
        <v>366.60061831117127</v>
      </c>
    </row>
    <row r="183" spans="1:23" x14ac:dyDescent="0.35">
      <c r="A183" s="70">
        <v>45839</v>
      </c>
      <c r="B183" s="71" t="str">
        <f t="shared" si="22"/>
        <v>Di</v>
      </c>
      <c r="C183" s="69">
        <f t="shared" si="23"/>
        <v>7</v>
      </c>
      <c r="D183" s="69">
        <v>182</v>
      </c>
      <c r="E183" s="69" t="str">
        <f>IF(OR(COUNTIF(Feiertage_Hessen_2025!$C$4:$C$13,A183)&gt;0,WEEKDAY(A183,2)=7),"FT",IF(WEEKDAY(A183,2)=6,"SA","WT"))</f>
        <v>WT</v>
      </c>
      <c r="F183" s="69">
        <f>INDEX('BDEW-H25 Tagessummen'!$C$4:$C$39, MATCH(C183&amp;"_"&amp;E183, 'BDEW-H25 Tagessummen'!$D$4:$D$39, 0))</f>
        <v>2915.4739999999988</v>
      </c>
      <c r="G183" s="69">
        <f t="shared" si="20"/>
        <v>0.79593480460800015</v>
      </c>
      <c r="H183" s="69">
        <f>Tabelle1[[#This Row],[Profilwert (kWh)]]*Tabelle1[[#This Row],[Dynamisierungsfaktor]]</f>
        <v>2320.5272285297037</v>
      </c>
      <c r="I183" s="69">
        <f>Annahmen!$B$5*(H183/SUM($H$2:$H$366))</f>
        <v>11.607654688385024</v>
      </c>
      <c r="J183" s="69">
        <f>Annahmen!$B$6</f>
        <v>130</v>
      </c>
      <c r="K183" s="69">
        <f t="shared" si="24"/>
        <v>1508.995109490053</v>
      </c>
      <c r="L183" s="69">
        <f>I183*Annahmen!$B$7</f>
        <v>8.1253582818695165</v>
      </c>
      <c r="M183" s="69">
        <f>I183*(1-Annahmen!$B$7)</f>
        <v>3.4822964065155078</v>
      </c>
      <c r="N183" s="69">
        <f>Annahmen!$B$8</f>
        <v>78</v>
      </c>
      <c r="O183" s="72">
        <f>INDEX(Quelle_SMARD_Preise_2025!$C$11:$C$375, MATCH($A183,Quelle_SMARD_Preise_2025!$A$11:$A$375, 0))</f>
        <v>138.36000000000001</v>
      </c>
      <c r="P183" s="69">
        <f t="shared" si="25"/>
        <v>633.77794598582227</v>
      </c>
      <c r="Q183" s="69">
        <f t="shared" si="26"/>
        <v>481.81053080548571</v>
      </c>
      <c r="R183" s="73">
        <f>Annahmen!$B$9</f>
        <v>0.05</v>
      </c>
      <c r="S183" s="69">
        <f t="shared" si="27"/>
        <v>0.58038273441925126</v>
      </c>
      <c r="T183" s="69">
        <f t="shared" si="28"/>
        <v>0</v>
      </c>
      <c r="U183" s="74">
        <f>$O183+Annahmen!$B$10+(T183*Annahmen!$B$11)</f>
        <v>146.36000000000001</v>
      </c>
      <c r="V183" s="74">
        <f t="shared" si="21"/>
        <v>84.944817009601621</v>
      </c>
      <c r="W183" s="74">
        <f t="shared" si="29"/>
        <v>308.46181568914335</v>
      </c>
    </row>
    <row r="184" spans="1:23" x14ac:dyDescent="0.35">
      <c r="A184" s="70">
        <v>45840</v>
      </c>
      <c r="B184" s="71" t="str">
        <f t="shared" si="22"/>
        <v>Mi</v>
      </c>
      <c r="C184" s="69">
        <f t="shared" si="23"/>
        <v>7</v>
      </c>
      <c r="D184" s="69">
        <v>183</v>
      </c>
      <c r="E184" s="69" t="str">
        <f>IF(OR(COUNTIF(Feiertage_Hessen_2025!$C$4:$C$13,A184)&gt;0,WEEKDAY(A184,2)=7),"FT",IF(WEEKDAY(A184,2)=6,"SA","WT"))</f>
        <v>WT</v>
      </c>
      <c r="F184" s="69">
        <f>INDEX('BDEW-H25 Tagessummen'!$C$4:$C$39, MATCH(C184&amp;"_"&amp;E184, 'BDEW-H25 Tagessummen'!$D$4:$D$39, 0))</f>
        <v>2915.4739999999988</v>
      </c>
      <c r="G184" s="69">
        <f t="shared" si="20"/>
        <v>0.79485489656800001</v>
      </c>
      <c r="H184" s="69">
        <f>Tabelle1[[#This Row],[Profilwert (kWh)]]*Tabelle1[[#This Row],[Dynamisierungsfaktor]]</f>
        <v>2317.3787847166923</v>
      </c>
      <c r="I184" s="69">
        <f>Annahmen!$B$5*(H184/SUM($H$2:$H$366))</f>
        <v>11.591905660259904</v>
      </c>
      <c r="J184" s="69">
        <f>Annahmen!$B$6</f>
        <v>130</v>
      </c>
      <c r="K184" s="69">
        <f t="shared" si="24"/>
        <v>1506.9477358337876</v>
      </c>
      <c r="L184" s="69">
        <f>I184*Annahmen!$B$7</f>
        <v>8.1143339621819326</v>
      </c>
      <c r="M184" s="69">
        <f>I184*(1-Annahmen!$B$7)</f>
        <v>3.4775716980779716</v>
      </c>
      <c r="N184" s="69">
        <f>Annahmen!$B$8</f>
        <v>78</v>
      </c>
      <c r="O184" s="72">
        <f>INDEX(Quelle_SMARD_Preise_2025!$C$11:$C$375, MATCH($A184,Quelle_SMARD_Preise_2025!$A$11:$A$375, 0))</f>
        <v>103.89</v>
      </c>
      <c r="P184" s="69">
        <f t="shared" si="25"/>
        <v>632.91804905019069</v>
      </c>
      <c r="Q184" s="69">
        <f t="shared" si="26"/>
        <v>361.2849237133205</v>
      </c>
      <c r="R184" s="73">
        <f>Annahmen!$B$9</f>
        <v>0.05</v>
      </c>
      <c r="S184" s="69">
        <f t="shared" si="27"/>
        <v>0.57959528301299523</v>
      </c>
      <c r="T184" s="69">
        <f t="shared" si="28"/>
        <v>0</v>
      </c>
      <c r="U184" s="74">
        <f>$O184+Annahmen!$B$10+(T184*Annahmen!$B$11)</f>
        <v>111.89</v>
      </c>
      <c r="V184" s="74">
        <f t="shared" si="21"/>
        <v>64.850916216324038</v>
      </c>
      <c r="W184" s="74">
        <f t="shared" si="29"/>
        <v>447.89384685395243</v>
      </c>
    </row>
    <row r="185" spans="1:23" x14ac:dyDescent="0.35">
      <c r="A185" s="70">
        <v>45841</v>
      </c>
      <c r="B185" s="71" t="str">
        <f t="shared" si="22"/>
        <v>Do</v>
      </c>
      <c r="C185" s="69">
        <f t="shared" si="23"/>
        <v>7</v>
      </c>
      <c r="D185" s="69">
        <v>184</v>
      </c>
      <c r="E185" s="69" t="str">
        <f>IF(OR(COUNTIF(Feiertage_Hessen_2025!$C$4:$C$13,A185)&gt;0,WEEKDAY(A185,2)=7),"FT",IF(WEEKDAY(A185,2)=6,"SA","WT"))</f>
        <v>WT</v>
      </c>
      <c r="F185" s="69">
        <f>INDEX('BDEW-H25 Tagessummen'!$C$4:$C$39, MATCH(C185&amp;"_"&amp;E185, 'BDEW-H25 Tagessummen'!$D$4:$D$39, 0))</f>
        <v>2915.4739999999988</v>
      </c>
      <c r="G185" s="69">
        <f t="shared" si="20"/>
        <v>0.79382841548800043</v>
      </c>
      <c r="H185" s="69">
        <f>Tabelle1[[#This Row],[Profilwert (kWh)]]*Tabelle1[[#This Row],[Dynamisierungsfaktor]]</f>
        <v>2314.3861058164616</v>
      </c>
      <c r="I185" s="69">
        <f>Annahmen!$B$5*(H185/SUM($H$2:$H$366))</f>
        <v>11.576935793567538</v>
      </c>
      <c r="J185" s="69">
        <f>Annahmen!$B$6</f>
        <v>130</v>
      </c>
      <c r="K185" s="69">
        <f t="shared" si="24"/>
        <v>1505.0016531637798</v>
      </c>
      <c r="L185" s="69">
        <f>I185*Annahmen!$B$7</f>
        <v>8.1038550554972755</v>
      </c>
      <c r="M185" s="69">
        <f>I185*(1-Annahmen!$B$7)</f>
        <v>3.4730807380702617</v>
      </c>
      <c r="N185" s="69">
        <f>Annahmen!$B$8</f>
        <v>78</v>
      </c>
      <c r="O185" s="72">
        <f>INDEX(Quelle_SMARD_Preise_2025!$C$11:$C$375, MATCH($A185,Quelle_SMARD_Preise_2025!$A$11:$A$375, 0))</f>
        <v>86.47</v>
      </c>
      <c r="P185" s="69">
        <f t="shared" si="25"/>
        <v>632.10069432878754</v>
      </c>
      <c r="Q185" s="69">
        <f t="shared" si="26"/>
        <v>300.31729142093553</v>
      </c>
      <c r="R185" s="73">
        <f>Annahmen!$B$9</f>
        <v>0.05</v>
      </c>
      <c r="S185" s="69">
        <f t="shared" si="27"/>
        <v>0.57884678967837688</v>
      </c>
      <c r="T185" s="69">
        <f t="shared" si="28"/>
        <v>0</v>
      </c>
      <c r="U185" s="74">
        <f>$O185+Annahmen!$B$10+(T185*Annahmen!$B$11)</f>
        <v>94.47</v>
      </c>
      <c r="V185" s="74">
        <f t="shared" si="21"/>
        <v>54.683656220916262</v>
      </c>
      <c r="W185" s="74">
        <f t="shared" si="29"/>
        <v>517.90001119314036</v>
      </c>
    </row>
    <row r="186" spans="1:23" x14ac:dyDescent="0.35">
      <c r="A186" s="70">
        <v>45842</v>
      </c>
      <c r="B186" s="71" t="str">
        <f t="shared" si="22"/>
        <v>Fr</v>
      </c>
      <c r="C186" s="69">
        <f t="shared" si="23"/>
        <v>7</v>
      </c>
      <c r="D186" s="69">
        <v>185</v>
      </c>
      <c r="E186" s="69" t="str">
        <f>IF(OR(COUNTIF(Feiertage_Hessen_2025!$C$4:$C$13,A186)&gt;0,WEEKDAY(A186,2)=7),"FT",IF(WEEKDAY(A186,2)=6,"SA","WT"))</f>
        <v>WT</v>
      </c>
      <c r="F186" s="69">
        <f>INDEX('BDEW-H25 Tagessummen'!$C$4:$C$39, MATCH(C186&amp;"_"&amp;E186, 'BDEW-H25 Tagessummen'!$D$4:$D$39, 0))</f>
        <v>2915.4739999999988</v>
      </c>
      <c r="G186" s="69">
        <f t="shared" si="20"/>
        <v>0.79285555500000027</v>
      </c>
      <c r="H186" s="69">
        <f>Tabelle1[[#This Row],[Profilwert (kWh)]]*Tabelle1[[#This Row],[Dynamisierungsfaktor]]</f>
        <v>2311.5497563580698</v>
      </c>
      <c r="I186" s="69">
        <f>Annahmen!$B$5*(H186/SUM($H$2:$H$366))</f>
        <v>11.562747912174109</v>
      </c>
      <c r="J186" s="69">
        <f>Annahmen!$B$6</f>
        <v>130</v>
      </c>
      <c r="K186" s="69">
        <f t="shared" si="24"/>
        <v>1503.1572285826342</v>
      </c>
      <c r="L186" s="69">
        <f>I186*Annahmen!$B$7</f>
        <v>8.0939235385218762</v>
      </c>
      <c r="M186" s="69">
        <f>I186*(1-Annahmen!$B$7)</f>
        <v>3.4688243736522333</v>
      </c>
      <c r="N186" s="69">
        <f>Annahmen!$B$8</f>
        <v>78</v>
      </c>
      <c r="O186" s="72">
        <f>INDEX(Quelle_SMARD_Preise_2025!$C$11:$C$375, MATCH($A186,Quelle_SMARD_Preise_2025!$A$11:$A$375, 0))</f>
        <v>79.62</v>
      </c>
      <c r="P186" s="69">
        <f t="shared" si="25"/>
        <v>631.32603600470634</v>
      </c>
      <c r="Q186" s="69">
        <f t="shared" si="26"/>
        <v>276.1877966301908</v>
      </c>
      <c r="R186" s="73">
        <f>Annahmen!$B$9</f>
        <v>0.05</v>
      </c>
      <c r="S186" s="69">
        <f t="shared" si="27"/>
        <v>0.57813739560870547</v>
      </c>
      <c r="T186" s="69">
        <f t="shared" si="28"/>
        <v>0</v>
      </c>
      <c r="U186" s="74">
        <f>$O186+Annahmen!$B$10+(T186*Annahmen!$B$11)</f>
        <v>87.62</v>
      </c>
      <c r="V186" s="74">
        <f t="shared" si="21"/>
        <v>50.656398603234777</v>
      </c>
      <c r="W186" s="74">
        <f t="shared" si="29"/>
        <v>544.98699734450224</v>
      </c>
    </row>
    <row r="187" spans="1:23" x14ac:dyDescent="0.35">
      <c r="A187" s="70">
        <v>45843</v>
      </c>
      <c r="B187" s="71" t="str">
        <f t="shared" si="22"/>
        <v>Sa</v>
      </c>
      <c r="C187" s="69">
        <f t="shared" si="23"/>
        <v>7</v>
      </c>
      <c r="D187" s="69">
        <v>186</v>
      </c>
      <c r="E187" s="69" t="str">
        <f>IF(OR(COUNTIF(Feiertage_Hessen_2025!$C$4:$C$13,A187)&gt;0,WEEKDAY(A187,2)=7),"FT",IF(WEEKDAY(A187,2)=6,"SA","WT"))</f>
        <v>SA</v>
      </c>
      <c r="F187" s="69">
        <f>INDEX('BDEW-H25 Tagessummen'!$C$4:$C$39, MATCH(C187&amp;"_"&amp;E187, 'BDEW-H25 Tagessummen'!$D$4:$D$39, 0))</f>
        <v>3277.9329999999995</v>
      </c>
      <c r="G187" s="69">
        <f t="shared" si="20"/>
        <v>0.79193649932799981</v>
      </c>
      <c r="H187" s="69">
        <f>Tabelle1[[#This Row],[Profilwert (kWh)]]*Tabelle1[[#This Row],[Dynamisierungsfaktor]]</f>
        <v>2595.9147850517279</v>
      </c>
      <c r="I187" s="69">
        <f>Annahmen!$B$5*(H187/SUM($H$2:$H$366))</f>
        <v>12.985188044721097</v>
      </c>
      <c r="J187" s="69">
        <f>Annahmen!$B$6</f>
        <v>130</v>
      </c>
      <c r="K187" s="69">
        <f t="shared" si="24"/>
        <v>1688.0744458137426</v>
      </c>
      <c r="L187" s="69">
        <f>I187*Annahmen!$B$7</f>
        <v>9.0896316313047674</v>
      </c>
      <c r="M187" s="69">
        <f>I187*(1-Annahmen!$B$7)</f>
        <v>3.8955564134163296</v>
      </c>
      <c r="N187" s="69">
        <f>Annahmen!$B$8</f>
        <v>78</v>
      </c>
      <c r="O187" s="72">
        <f>INDEX(Quelle_SMARD_Preise_2025!$C$11:$C$375, MATCH($A187,Quelle_SMARD_Preise_2025!$A$11:$A$375, 0))</f>
        <v>53.86</v>
      </c>
      <c r="P187" s="69">
        <f t="shared" si="25"/>
        <v>708.99126724177188</v>
      </c>
      <c r="Q187" s="69">
        <f t="shared" si="26"/>
        <v>209.8146684266035</v>
      </c>
      <c r="R187" s="73">
        <f>Annahmen!$B$9</f>
        <v>0.05</v>
      </c>
      <c r="S187" s="69">
        <f t="shared" si="27"/>
        <v>0.64925940223605494</v>
      </c>
      <c r="T187" s="69">
        <f t="shared" si="28"/>
        <v>0</v>
      </c>
      <c r="U187" s="74">
        <f>$O187+Annahmen!$B$10+(T187*Annahmen!$B$11)</f>
        <v>61.86</v>
      </c>
      <c r="V187" s="74">
        <f t="shared" si="21"/>
        <v>40.163186622322357</v>
      </c>
      <c r="W187" s="74">
        <f t="shared" si="29"/>
        <v>729.10532352304494</v>
      </c>
    </row>
    <row r="188" spans="1:23" x14ac:dyDescent="0.35">
      <c r="A188" s="70">
        <v>45844</v>
      </c>
      <c r="B188" s="71" t="str">
        <f t="shared" si="22"/>
        <v>So</v>
      </c>
      <c r="C188" s="69">
        <f t="shared" si="23"/>
        <v>7</v>
      </c>
      <c r="D188" s="69">
        <v>187</v>
      </c>
      <c r="E188" s="69" t="str">
        <f>IF(OR(COUNTIF(Feiertage_Hessen_2025!$C$4:$C$13,A188)&gt;0,WEEKDAY(A188,2)=7),"FT",IF(WEEKDAY(A188,2)=6,"SA","WT"))</f>
        <v>FT</v>
      </c>
      <c r="F188" s="69">
        <f>INDEX('BDEW-H25 Tagessummen'!$C$4:$C$39, MATCH(C188&amp;"_"&amp;E188, 'BDEW-H25 Tagessummen'!$D$4:$D$39, 0))</f>
        <v>3361.2320000000013</v>
      </c>
      <c r="G188" s="69">
        <f t="shared" si="20"/>
        <v>0.79107142328800051</v>
      </c>
      <c r="H188" s="69">
        <f>Tabelle1[[#This Row],[Profilwert (kWh)]]*Tabelle1[[#This Row],[Dynamisierungsfaktor]]</f>
        <v>2658.9745822411737</v>
      </c>
      <c r="I188" s="69">
        <f>Annahmen!$B$5*(H188/SUM($H$2:$H$366))</f>
        <v>13.300623408501965</v>
      </c>
      <c r="J188" s="69">
        <f>Annahmen!$B$6</f>
        <v>130</v>
      </c>
      <c r="K188" s="69">
        <f t="shared" si="24"/>
        <v>1729.0810431052555</v>
      </c>
      <c r="L188" s="69">
        <f>I188*Annahmen!$B$7</f>
        <v>9.310436385951375</v>
      </c>
      <c r="M188" s="69">
        <f>I188*(1-Annahmen!$B$7)</f>
        <v>3.99018702255059</v>
      </c>
      <c r="N188" s="69">
        <f>Annahmen!$B$8</f>
        <v>78</v>
      </c>
      <c r="O188" s="72">
        <f>INDEX(Quelle_SMARD_Preise_2025!$C$11:$C$375, MATCH($A188,Quelle_SMARD_Preise_2025!$A$11:$A$375, 0))</f>
        <v>73.489999999999995</v>
      </c>
      <c r="P188" s="69">
        <f t="shared" si="25"/>
        <v>726.21403810420725</v>
      </c>
      <c r="Q188" s="69">
        <f t="shared" si="26"/>
        <v>293.23884428724284</v>
      </c>
      <c r="R188" s="73">
        <f>Annahmen!$B$9</f>
        <v>0.05</v>
      </c>
      <c r="S188" s="69">
        <f t="shared" si="27"/>
        <v>0.66503117042509829</v>
      </c>
      <c r="T188" s="69">
        <f t="shared" si="28"/>
        <v>0</v>
      </c>
      <c r="U188" s="74">
        <f>$O188+Annahmen!$B$10+(T188*Annahmen!$B$11)</f>
        <v>81.489999999999995</v>
      </c>
      <c r="V188" s="74">
        <f t="shared" si="21"/>
        <v>54.19339007794126</v>
      </c>
      <c r="W188" s="74">
        <f t="shared" si="29"/>
        <v>655.4347706358642</v>
      </c>
    </row>
    <row r="189" spans="1:23" x14ac:dyDescent="0.35">
      <c r="A189" s="70">
        <v>45845</v>
      </c>
      <c r="B189" s="71" t="str">
        <f t="shared" si="22"/>
        <v>Mo</v>
      </c>
      <c r="C189" s="69">
        <f t="shared" si="23"/>
        <v>7</v>
      </c>
      <c r="D189" s="69">
        <v>188</v>
      </c>
      <c r="E189" s="69" t="str">
        <f>IF(OR(COUNTIF(Feiertage_Hessen_2025!$C$4:$C$13,A189)&gt;0,WEEKDAY(A189,2)=7),"FT",IF(WEEKDAY(A189,2)=6,"SA","WT"))</f>
        <v>WT</v>
      </c>
      <c r="F189" s="69">
        <f>INDEX('BDEW-H25 Tagessummen'!$C$4:$C$39, MATCH(C189&amp;"_"&amp;E189, 'BDEW-H25 Tagessummen'!$D$4:$D$39, 0))</f>
        <v>2915.4739999999988</v>
      </c>
      <c r="G189" s="69">
        <f t="shared" si="20"/>
        <v>0.79026049228799988</v>
      </c>
      <c r="H189" s="69">
        <f>Tabelle1[[#This Row],[Profilwert (kWh)]]*Tabelle1[[#This Row],[Dynamisierungsfaktor]]</f>
        <v>2303.9839184928633</v>
      </c>
      <c r="I189" s="69">
        <f>Annahmen!$B$5*(H189/SUM($H$2:$H$366))</f>
        <v>11.524902360401262</v>
      </c>
      <c r="J189" s="69">
        <f>Annahmen!$B$6</f>
        <v>130</v>
      </c>
      <c r="K189" s="69">
        <f t="shared" si="24"/>
        <v>1498.237306852164</v>
      </c>
      <c r="L189" s="69">
        <f>I189*Annahmen!$B$7</f>
        <v>8.0674316522808827</v>
      </c>
      <c r="M189" s="69">
        <f>I189*(1-Annahmen!$B$7)</f>
        <v>3.457470708120379</v>
      </c>
      <c r="N189" s="69">
        <f>Annahmen!$B$8</f>
        <v>78</v>
      </c>
      <c r="O189" s="72">
        <f>INDEX(Quelle_SMARD_Preise_2025!$C$11:$C$375, MATCH($A189,Quelle_SMARD_Preise_2025!$A$11:$A$375, 0))</f>
        <v>99.97</v>
      </c>
      <c r="P189" s="69">
        <f t="shared" si="25"/>
        <v>629.25966887790889</v>
      </c>
      <c r="Q189" s="69">
        <f t="shared" si="26"/>
        <v>345.64334669079432</v>
      </c>
      <c r="R189" s="73">
        <f>Annahmen!$B$9</f>
        <v>0.05</v>
      </c>
      <c r="S189" s="69">
        <f t="shared" si="27"/>
        <v>0.57624511802006306</v>
      </c>
      <c r="T189" s="69">
        <f t="shared" si="28"/>
        <v>0</v>
      </c>
      <c r="U189" s="74">
        <f>$O189+Annahmen!$B$10+(T189*Annahmen!$B$11)</f>
        <v>107.97</v>
      </c>
      <c r="V189" s="74">
        <f t="shared" si="21"/>
        <v>62.217185392626206</v>
      </c>
      <c r="W189" s="74">
        <f t="shared" si="29"/>
        <v>461.11710589083452</v>
      </c>
    </row>
    <row r="190" spans="1:23" x14ac:dyDescent="0.35">
      <c r="A190" s="70">
        <v>45846</v>
      </c>
      <c r="B190" s="71" t="str">
        <f t="shared" si="22"/>
        <v>Di</v>
      </c>
      <c r="C190" s="69">
        <f t="shared" si="23"/>
        <v>7</v>
      </c>
      <c r="D190" s="69">
        <v>189</v>
      </c>
      <c r="E190" s="69" t="str">
        <f>IF(OR(COUNTIF(Feiertage_Hessen_2025!$C$4:$C$13,A190)&gt;0,WEEKDAY(A190,2)=7),"FT",IF(WEEKDAY(A190,2)=6,"SA","WT"))</f>
        <v>WT</v>
      </c>
      <c r="F190" s="69">
        <f>INDEX('BDEW-H25 Tagessummen'!$C$4:$C$39, MATCH(C190&amp;"_"&amp;E190, 'BDEW-H25 Tagessummen'!$D$4:$D$39, 0))</f>
        <v>2915.4739999999988</v>
      </c>
      <c r="G190" s="69">
        <f t="shared" si="20"/>
        <v>0.78950386232800018</v>
      </c>
      <c r="H190" s="69">
        <f>Tabelle1[[#This Row],[Profilwert (kWh)]]*Tabelle1[[#This Row],[Dynamisierungsfaktor]]</f>
        <v>2301.7779835168631</v>
      </c>
      <c r="I190" s="69">
        <f>Annahmen!$B$5*(H190/SUM($H$2:$H$366))</f>
        <v>11.513867914801301</v>
      </c>
      <c r="J190" s="69">
        <f>Annahmen!$B$6</f>
        <v>130</v>
      </c>
      <c r="K190" s="69">
        <f t="shared" si="24"/>
        <v>1496.802828924169</v>
      </c>
      <c r="L190" s="69">
        <f>I190*Annahmen!$B$7</f>
        <v>8.0597075403609093</v>
      </c>
      <c r="M190" s="69">
        <f>I190*(1-Annahmen!$B$7)</f>
        <v>3.4541603744403906</v>
      </c>
      <c r="N190" s="69">
        <f>Annahmen!$B$8</f>
        <v>78</v>
      </c>
      <c r="O190" s="72">
        <f>INDEX(Quelle_SMARD_Preise_2025!$C$11:$C$375, MATCH($A190,Quelle_SMARD_Preise_2025!$A$11:$A$375, 0))</f>
        <v>90.01</v>
      </c>
      <c r="P190" s="69">
        <f t="shared" si="25"/>
        <v>628.65718814815091</v>
      </c>
      <c r="Q190" s="69">
        <f t="shared" si="26"/>
        <v>310.90897530337958</v>
      </c>
      <c r="R190" s="73">
        <f>Annahmen!$B$9</f>
        <v>0.05</v>
      </c>
      <c r="S190" s="69">
        <f t="shared" si="27"/>
        <v>0.57569339574006506</v>
      </c>
      <c r="T190" s="69">
        <f t="shared" si="28"/>
        <v>0</v>
      </c>
      <c r="U190" s="74">
        <f>$O190+Annahmen!$B$10+(T190*Annahmen!$B$11)</f>
        <v>98.01</v>
      </c>
      <c r="V190" s="74">
        <f t="shared" si="21"/>
        <v>56.423709716483778</v>
      </c>
      <c r="W190" s="74">
        <f t="shared" si="29"/>
        <v>500.81295575615485</v>
      </c>
    </row>
    <row r="191" spans="1:23" x14ac:dyDescent="0.35">
      <c r="A191" s="70">
        <v>45847</v>
      </c>
      <c r="B191" s="71" t="str">
        <f t="shared" si="22"/>
        <v>Mi</v>
      </c>
      <c r="C191" s="69">
        <f t="shared" si="23"/>
        <v>7</v>
      </c>
      <c r="D191" s="69">
        <v>190</v>
      </c>
      <c r="E191" s="69" t="str">
        <f>IF(OR(COUNTIF(Feiertage_Hessen_2025!$C$4:$C$13,A191)&gt;0,WEEKDAY(A191,2)=7),"FT",IF(WEEKDAY(A191,2)=6,"SA","WT"))</f>
        <v>WT</v>
      </c>
      <c r="F191" s="69">
        <f>INDEX('BDEW-H25 Tagessummen'!$C$4:$C$39, MATCH(C191&amp;"_"&amp;E191, 'BDEW-H25 Tagessummen'!$D$4:$D$39, 0))</f>
        <v>2915.4739999999988</v>
      </c>
      <c r="G191" s="69">
        <f t="shared" si="20"/>
        <v>0.78880167999999995</v>
      </c>
      <c r="H191" s="69">
        <f>Tabelle1[[#This Row],[Profilwert (kWh)]]*Tabelle1[[#This Row],[Dynamisierungsfaktor]]</f>
        <v>2299.7307891963187</v>
      </c>
      <c r="I191" s="69">
        <f>Annahmen!$B$5*(H191/SUM($H$2:$H$366))</f>
        <v>11.50362751578303</v>
      </c>
      <c r="J191" s="69">
        <f>Annahmen!$B$6</f>
        <v>130</v>
      </c>
      <c r="K191" s="69">
        <f t="shared" si="24"/>
        <v>1495.4715770517939</v>
      </c>
      <c r="L191" s="69">
        <f>I191*Annahmen!$B$7</f>
        <v>8.0525392610481212</v>
      </c>
      <c r="M191" s="69">
        <f>I191*(1-Annahmen!$B$7)</f>
        <v>3.4510882547349095</v>
      </c>
      <c r="N191" s="69">
        <f>Annahmen!$B$8</f>
        <v>78</v>
      </c>
      <c r="O191" s="72">
        <f>INDEX(Quelle_SMARD_Preise_2025!$C$11:$C$375, MATCH($A191,Quelle_SMARD_Preise_2025!$A$11:$A$375, 0))</f>
        <v>91.8</v>
      </c>
      <c r="P191" s="69">
        <f t="shared" si="25"/>
        <v>628.09806236175348</v>
      </c>
      <c r="Q191" s="69">
        <f t="shared" si="26"/>
        <v>316.8099017846647</v>
      </c>
      <c r="R191" s="73">
        <f>Annahmen!$B$9</f>
        <v>0.05</v>
      </c>
      <c r="S191" s="69">
        <f t="shared" si="27"/>
        <v>0.57518137578915152</v>
      </c>
      <c r="T191" s="69">
        <f t="shared" si="28"/>
        <v>0</v>
      </c>
      <c r="U191" s="74">
        <f>$O191+Annahmen!$B$10+(T191*Annahmen!$B$11)</f>
        <v>99.8</v>
      </c>
      <c r="V191" s="74">
        <f t="shared" si="21"/>
        <v>57.403101303757317</v>
      </c>
      <c r="W191" s="74">
        <f t="shared" si="29"/>
        <v>493.16051160161845</v>
      </c>
    </row>
    <row r="192" spans="1:23" x14ac:dyDescent="0.35">
      <c r="A192" s="70">
        <v>45848</v>
      </c>
      <c r="B192" s="71" t="str">
        <f t="shared" si="22"/>
        <v>Do</v>
      </c>
      <c r="C192" s="69">
        <f t="shared" si="23"/>
        <v>7</v>
      </c>
      <c r="D192" s="69">
        <v>191</v>
      </c>
      <c r="E192" s="69" t="str">
        <f>IF(OR(COUNTIF(Feiertage_Hessen_2025!$C$4:$C$13,A192)&gt;0,WEEKDAY(A192,2)=7),"FT",IF(WEEKDAY(A192,2)=6,"SA","WT"))</f>
        <v>WT</v>
      </c>
      <c r="F192" s="69">
        <f>INDEX('BDEW-H25 Tagessummen'!$C$4:$C$39, MATCH(C192&amp;"_"&amp;E192, 'BDEW-H25 Tagessummen'!$D$4:$D$39, 0))</f>
        <v>2915.4739999999988</v>
      </c>
      <c r="G192" s="69">
        <f t="shared" si="20"/>
        <v>0.78815408248800045</v>
      </c>
      <c r="H192" s="69">
        <f>Tabelle1[[#This Row],[Profilwert (kWh)]]*Tabelle1[[#This Row],[Dynamisierungsfaktor]]</f>
        <v>2297.8427354876198</v>
      </c>
      <c r="I192" s="69">
        <f>Annahmen!$B$5*(H192/SUM($H$2:$H$366))</f>
        <v>11.494183163993378</v>
      </c>
      <c r="J192" s="69">
        <f>Annahmen!$B$6</f>
        <v>130</v>
      </c>
      <c r="K192" s="69">
        <f t="shared" si="24"/>
        <v>1494.2438113191392</v>
      </c>
      <c r="L192" s="69">
        <f>I192*Annahmen!$B$7</f>
        <v>8.0459282147953637</v>
      </c>
      <c r="M192" s="69">
        <f>I192*(1-Annahmen!$B$7)</f>
        <v>3.4482549491980139</v>
      </c>
      <c r="N192" s="69">
        <f>Annahmen!$B$8</f>
        <v>78</v>
      </c>
      <c r="O192" s="72">
        <f>INDEX(Quelle_SMARD_Preise_2025!$C$11:$C$375, MATCH($A192,Quelle_SMARD_Preise_2025!$A$11:$A$375, 0))</f>
        <v>90.41</v>
      </c>
      <c r="P192" s="69">
        <f t="shared" si="25"/>
        <v>627.58240075403842</v>
      </c>
      <c r="Q192" s="69">
        <f t="shared" si="26"/>
        <v>311.75672995699244</v>
      </c>
      <c r="R192" s="73">
        <f>Annahmen!$B$9</f>
        <v>0.05</v>
      </c>
      <c r="S192" s="69">
        <f t="shared" si="27"/>
        <v>0.57470915819966895</v>
      </c>
      <c r="T192" s="69">
        <f t="shared" si="28"/>
        <v>0</v>
      </c>
      <c r="U192" s="74">
        <f>$O192+Annahmen!$B$10+(T192*Annahmen!$B$11)</f>
        <v>98.41</v>
      </c>
      <c r="V192" s="74">
        <f t="shared" si="21"/>
        <v>56.557128258429422</v>
      </c>
      <c r="W192" s="74">
        <f t="shared" si="29"/>
        <v>498.34755234967895</v>
      </c>
    </row>
    <row r="193" spans="1:23" x14ac:dyDescent="0.35">
      <c r="A193" s="70">
        <v>45849</v>
      </c>
      <c r="B193" s="71" t="str">
        <f t="shared" si="22"/>
        <v>Fr</v>
      </c>
      <c r="C193" s="69">
        <f t="shared" si="23"/>
        <v>7</v>
      </c>
      <c r="D193" s="69">
        <v>192</v>
      </c>
      <c r="E193" s="69" t="str">
        <f>IF(OR(COUNTIF(Feiertage_Hessen_2025!$C$4:$C$13,A193)&gt;0,WEEKDAY(A193,2)=7),"FT",IF(WEEKDAY(A193,2)=6,"SA","WT"))</f>
        <v>WT</v>
      </c>
      <c r="F193" s="69">
        <f>INDEX('BDEW-H25 Tagessummen'!$C$4:$C$39, MATCH(C193&amp;"_"&amp;E193, 'BDEW-H25 Tagessummen'!$D$4:$D$39, 0))</f>
        <v>2915.4739999999988</v>
      </c>
      <c r="G193" s="69">
        <f t="shared" si="20"/>
        <v>0.78756119756800014</v>
      </c>
      <c r="H193" s="69">
        <f>Tabelle1[[#This Row],[Profilwert (kWh)]]*Tabelle1[[#This Row],[Dynamisierungsfaktor]]</f>
        <v>2296.1141949183666</v>
      </c>
      <c r="I193" s="69">
        <f>Annahmen!$B$5*(H193/SUM($H$2:$H$366))</f>
        <v>11.485536722876001</v>
      </c>
      <c r="J193" s="69">
        <f>Annahmen!$B$6</f>
        <v>130</v>
      </c>
      <c r="K193" s="69">
        <f t="shared" si="24"/>
        <v>1493.11977397388</v>
      </c>
      <c r="L193" s="69">
        <f>I193*Annahmen!$B$7</f>
        <v>8.0398757060132002</v>
      </c>
      <c r="M193" s="69">
        <f>I193*(1-Annahmen!$B$7)</f>
        <v>3.4456610168628008</v>
      </c>
      <c r="N193" s="69">
        <f>Annahmen!$B$8</f>
        <v>78</v>
      </c>
      <c r="O193" s="72">
        <f>INDEX(Quelle_SMARD_Preise_2025!$C$11:$C$375, MATCH($A193,Quelle_SMARD_Preise_2025!$A$11:$A$375, 0))</f>
        <v>87.88</v>
      </c>
      <c r="P193" s="69">
        <f t="shared" si="25"/>
        <v>627.11030506902966</v>
      </c>
      <c r="Q193" s="69">
        <f t="shared" si="26"/>
        <v>302.8046901619029</v>
      </c>
      <c r="R193" s="73">
        <f>Annahmen!$B$9</f>
        <v>0.05</v>
      </c>
      <c r="S193" s="69">
        <f t="shared" si="27"/>
        <v>0.5742768361438001</v>
      </c>
      <c r="T193" s="69">
        <f t="shared" si="28"/>
        <v>0</v>
      </c>
      <c r="U193" s="74">
        <f>$O193+Annahmen!$B$10+(T193*Annahmen!$B$11)</f>
        <v>95.88</v>
      </c>
      <c r="V193" s="74">
        <f t="shared" si="21"/>
        <v>55.061663049467548</v>
      </c>
      <c r="W193" s="74">
        <f t="shared" si="29"/>
        <v>508.14311569347984</v>
      </c>
    </row>
    <row r="194" spans="1:23" x14ac:dyDescent="0.35">
      <c r="A194" s="70">
        <v>45850</v>
      </c>
      <c r="B194" s="71" t="str">
        <f t="shared" si="22"/>
        <v>Sa</v>
      </c>
      <c r="C194" s="69">
        <f t="shared" si="23"/>
        <v>7</v>
      </c>
      <c r="D194" s="69">
        <v>193</v>
      </c>
      <c r="E194" s="69" t="str">
        <f>IF(OR(COUNTIF(Feiertage_Hessen_2025!$C$4:$C$13,A194)&gt;0,WEEKDAY(A194,2)=7),"FT",IF(WEEKDAY(A194,2)=6,"SA","WT"))</f>
        <v>SA</v>
      </c>
      <c r="F194" s="69">
        <f>INDEX('BDEW-H25 Tagessummen'!$C$4:$C$39, MATCH(C194&amp;"_"&amp;E194, 'BDEW-H25 Tagessummen'!$D$4:$D$39, 0))</f>
        <v>3277.9329999999995</v>
      </c>
      <c r="G194" s="69">
        <f t="shared" ref="G194:G257" si="30">-3.92*10^-10*D194^4+3.2*10^-7*D194^3-7.02*10^-5*D194^2+2.1*10^-3*D194+1.24</f>
        <v>0.78702314360800041</v>
      </c>
      <c r="H194" s="69">
        <f>Tabelle1[[#This Row],[Profilwert (kWh)]]*Tabelle1[[#This Row],[Dynamisierungsfaktor]]</f>
        <v>2579.8091341964032</v>
      </c>
      <c r="I194" s="69">
        <f>Annahmen!$B$5*(H194/SUM($H$2:$H$366))</f>
        <v>12.904624959159392</v>
      </c>
      <c r="J194" s="69">
        <f>Annahmen!$B$6</f>
        <v>130</v>
      </c>
      <c r="K194" s="69">
        <f t="shared" si="24"/>
        <v>1677.6012446907209</v>
      </c>
      <c r="L194" s="69">
        <f>I194*Annahmen!$B$7</f>
        <v>9.0332374714115744</v>
      </c>
      <c r="M194" s="69">
        <f>I194*(1-Annahmen!$B$7)</f>
        <v>3.871387487747818</v>
      </c>
      <c r="N194" s="69">
        <f>Annahmen!$B$8</f>
        <v>78</v>
      </c>
      <c r="O194" s="72">
        <f>INDEX(Quelle_SMARD_Preise_2025!$C$11:$C$375, MATCH($A194,Quelle_SMARD_Preise_2025!$A$11:$A$375, 0))</f>
        <v>72.260000000000005</v>
      </c>
      <c r="P194" s="69">
        <f t="shared" si="25"/>
        <v>704.59252277010285</v>
      </c>
      <c r="Q194" s="69">
        <f t="shared" si="26"/>
        <v>279.74645986465737</v>
      </c>
      <c r="R194" s="73">
        <f>Annahmen!$B$9</f>
        <v>0.05</v>
      </c>
      <c r="S194" s="69">
        <f t="shared" si="27"/>
        <v>0.6452312479579696</v>
      </c>
      <c r="T194" s="69">
        <f t="shared" si="28"/>
        <v>0</v>
      </c>
      <c r="U194" s="74">
        <f>$O194+Annahmen!$B$10+(T194*Annahmen!$B$11)</f>
        <v>80.260000000000005</v>
      </c>
      <c r="V194" s="74">
        <f t="shared" ref="V194:V257" si="31">ABS(S194)*U194</f>
        <v>51.786259961106644</v>
      </c>
      <c r="W194" s="74">
        <f t="shared" si="29"/>
        <v>641.47600209485404</v>
      </c>
    </row>
    <row r="195" spans="1:23" x14ac:dyDescent="0.35">
      <c r="A195" s="70">
        <v>45851</v>
      </c>
      <c r="B195" s="71" t="str">
        <f t="shared" ref="B195:B258" si="32">TEXT(A195,"TTT")</f>
        <v>So</v>
      </c>
      <c r="C195" s="69">
        <f t="shared" ref="C195:C258" si="33">MONTH(A195)</f>
        <v>7</v>
      </c>
      <c r="D195" s="69">
        <v>194</v>
      </c>
      <c r="E195" s="69" t="str">
        <f>IF(OR(COUNTIF(Feiertage_Hessen_2025!$C$4:$C$13,A195)&gt;0,WEEKDAY(A195,2)=7),"FT",IF(WEEKDAY(A195,2)=6,"SA","WT"))</f>
        <v>FT</v>
      </c>
      <c r="F195" s="69">
        <f>INDEX('BDEW-H25 Tagessummen'!$C$4:$C$39, MATCH(C195&amp;"_"&amp;E195, 'BDEW-H25 Tagessummen'!$D$4:$D$39, 0))</f>
        <v>3361.2320000000013</v>
      </c>
      <c r="G195" s="69">
        <f t="shared" si="30"/>
        <v>0.78654002956799984</v>
      </c>
      <c r="H195" s="69">
        <f>Tabelle1[[#This Row],[Profilwert (kWh)]]*Tabelle1[[#This Row],[Dynamisierungsfaktor]]</f>
        <v>2643.7435166649084</v>
      </c>
      <c r="I195" s="69">
        <f>Annahmen!$B$5*(H195/SUM($H$2:$H$366))</f>
        <v>13.224435140779093</v>
      </c>
      <c r="J195" s="69">
        <f>Annahmen!$B$6</f>
        <v>130</v>
      </c>
      <c r="K195" s="69">
        <f t="shared" ref="K195:K258" si="34">I195*J195</f>
        <v>1719.176568301282</v>
      </c>
      <c r="L195" s="69">
        <f>I195*Annahmen!$B$7</f>
        <v>9.2571045985453644</v>
      </c>
      <c r="M195" s="69">
        <f>I195*(1-Annahmen!$B$7)</f>
        <v>3.9673305422337286</v>
      </c>
      <c r="N195" s="69">
        <f>Annahmen!$B$8</f>
        <v>78</v>
      </c>
      <c r="O195" s="72">
        <f>INDEX(Quelle_SMARD_Preise_2025!$C$11:$C$375, MATCH($A195,Quelle_SMARD_Preise_2025!$A$11:$A$375, 0))</f>
        <v>73.489999999999995</v>
      </c>
      <c r="P195" s="69">
        <f t="shared" ref="P195:P258" si="35">L195*N195</f>
        <v>722.05415868653847</v>
      </c>
      <c r="Q195" s="69">
        <f t="shared" ref="Q195:Q258" si="36">M195*O195</f>
        <v>291.55912154875671</v>
      </c>
      <c r="R195" s="73">
        <f>Annahmen!$B$9</f>
        <v>0.05</v>
      </c>
      <c r="S195" s="69">
        <f t="shared" ref="S195:S258" si="37">R195*I195</f>
        <v>0.66122175703895469</v>
      </c>
      <c r="T195" s="69">
        <f t="shared" ref="T195:T258" si="38">IF(OR(I195&gt;=PERCENTILE($I$2:$I$366,0.95),I195&lt;=PERCENTILE($I$2:$I$366,0.05)),1,0)</f>
        <v>0</v>
      </c>
      <c r="U195" s="74">
        <f>$O195+Annahmen!$B$10+(T195*Annahmen!$B$11)</f>
        <v>81.489999999999995</v>
      </c>
      <c r="V195" s="74">
        <f t="shared" si="31"/>
        <v>53.882960981104418</v>
      </c>
      <c r="W195" s="74">
        <f t="shared" ref="W195:W258" si="39">K195-P195-Q195-V195</f>
        <v>651.68032708488249</v>
      </c>
    </row>
    <row r="196" spans="1:23" x14ac:dyDescent="0.35">
      <c r="A196" s="70">
        <v>45852</v>
      </c>
      <c r="B196" s="71" t="str">
        <f t="shared" si="32"/>
        <v>Mo</v>
      </c>
      <c r="C196" s="69">
        <f t="shared" si="33"/>
        <v>7</v>
      </c>
      <c r="D196" s="69">
        <v>195</v>
      </c>
      <c r="E196" s="69" t="str">
        <f>IF(OR(COUNTIF(Feiertage_Hessen_2025!$C$4:$C$13,A196)&gt;0,WEEKDAY(A196,2)=7),"FT",IF(WEEKDAY(A196,2)=6,"SA","WT"))</f>
        <v>WT</v>
      </c>
      <c r="F196" s="69">
        <f>INDEX('BDEW-H25 Tagessummen'!$C$4:$C$39, MATCH(C196&amp;"_"&amp;E196, 'BDEW-H25 Tagessummen'!$D$4:$D$39, 0))</f>
        <v>2915.4739999999988</v>
      </c>
      <c r="G196" s="69">
        <f t="shared" si="30"/>
        <v>0.78611195500000031</v>
      </c>
      <c r="H196" s="69">
        <f>Tabelle1[[#This Row],[Profilwert (kWh)]]*Tabelle1[[#This Row],[Dynamisierungsfaktor]]</f>
        <v>2291.8889658916701</v>
      </c>
      <c r="I196" s="69">
        <f>Annahmen!$B$5*(H196/SUM($H$2:$H$366))</f>
        <v>11.464401439946219</v>
      </c>
      <c r="J196" s="69">
        <f>Annahmen!$B$6</f>
        <v>130</v>
      </c>
      <c r="K196" s="69">
        <f t="shared" si="34"/>
        <v>1490.3721871930084</v>
      </c>
      <c r="L196" s="69">
        <f>I196*Annahmen!$B$7</f>
        <v>8.0250810079623527</v>
      </c>
      <c r="M196" s="69">
        <f>I196*(1-Annahmen!$B$7)</f>
        <v>3.4393204319838659</v>
      </c>
      <c r="N196" s="69">
        <f>Annahmen!$B$8</f>
        <v>78</v>
      </c>
      <c r="O196" s="72">
        <f>INDEX(Quelle_SMARD_Preise_2025!$C$11:$C$375, MATCH($A196,Quelle_SMARD_Preise_2025!$A$11:$A$375, 0))</f>
        <v>98.47</v>
      </c>
      <c r="P196" s="69">
        <f t="shared" si="35"/>
        <v>625.95631862106347</v>
      </c>
      <c r="Q196" s="69">
        <f t="shared" si="36"/>
        <v>338.66988293745129</v>
      </c>
      <c r="R196" s="73">
        <f>Annahmen!$B$9</f>
        <v>0.05</v>
      </c>
      <c r="S196" s="69">
        <f t="shared" si="37"/>
        <v>0.57322007199731095</v>
      </c>
      <c r="T196" s="69">
        <f t="shared" si="38"/>
        <v>0</v>
      </c>
      <c r="U196" s="74">
        <f>$O196+Annahmen!$B$10+(T196*Annahmen!$B$11)</f>
        <v>106.47</v>
      </c>
      <c r="V196" s="74">
        <f t="shared" si="31"/>
        <v>61.030741065553698</v>
      </c>
      <c r="W196" s="74">
        <f t="shared" si="39"/>
        <v>464.71524456893985</v>
      </c>
    </row>
    <row r="197" spans="1:23" x14ac:dyDescent="0.35">
      <c r="A197" s="70">
        <v>45853</v>
      </c>
      <c r="B197" s="71" t="str">
        <f t="shared" si="32"/>
        <v>Di</v>
      </c>
      <c r="C197" s="69">
        <f t="shared" si="33"/>
        <v>7</v>
      </c>
      <c r="D197" s="69">
        <v>196</v>
      </c>
      <c r="E197" s="69" t="str">
        <f>IF(OR(COUNTIF(Feiertage_Hessen_2025!$C$4:$C$13,A197)&gt;0,WEEKDAY(A197,2)=7),"FT",IF(WEEKDAY(A197,2)=6,"SA","WT"))</f>
        <v>WT</v>
      </c>
      <c r="F197" s="69">
        <f>INDEX('BDEW-H25 Tagessummen'!$C$4:$C$39, MATCH(C197&amp;"_"&amp;E197, 'BDEW-H25 Tagessummen'!$D$4:$D$39, 0))</f>
        <v>2915.4739999999988</v>
      </c>
      <c r="G197" s="69">
        <f t="shared" si="30"/>
        <v>0.78573901004800051</v>
      </c>
      <c r="H197" s="69">
        <f>Tabelle1[[#This Row],[Profilwert (kWh)]]*Tabelle1[[#This Row],[Dynamisierungsfaktor]]</f>
        <v>2290.8016545806831</v>
      </c>
      <c r="I197" s="69">
        <f>Annahmen!$B$5*(H197/SUM($H$2:$H$366))</f>
        <v>11.458962531890524</v>
      </c>
      <c r="J197" s="69">
        <f>Annahmen!$B$6</f>
        <v>130</v>
      </c>
      <c r="K197" s="69">
        <f t="shared" si="34"/>
        <v>1489.6651291457681</v>
      </c>
      <c r="L197" s="69">
        <f>I197*Annahmen!$B$7</f>
        <v>8.0212737723233669</v>
      </c>
      <c r="M197" s="69">
        <f>I197*(1-Annahmen!$B$7)</f>
        <v>3.4376887595671577</v>
      </c>
      <c r="N197" s="69">
        <f>Annahmen!$B$8</f>
        <v>78</v>
      </c>
      <c r="O197" s="72">
        <f>INDEX(Quelle_SMARD_Preise_2025!$C$11:$C$375, MATCH($A197,Quelle_SMARD_Preise_2025!$A$11:$A$375, 0))</f>
        <v>90.82</v>
      </c>
      <c r="P197" s="69">
        <f t="shared" si="35"/>
        <v>625.65935424122267</v>
      </c>
      <c r="Q197" s="69">
        <f t="shared" si="36"/>
        <v>312.21089314388922</v>
      </c>
      <c r="R197" s="73">
        <f>Annahmen!$B$9</f>
        <v>0.05</v>
      </c>
      <c r="S197" s="69">
        <f t="shared" si="37"/>
        <v>0.57294812659452621</v>
      </c>
      <c r="T197" s="69">
        <f t="shared" si="38"/>
        <v>0</v>
      </c>
      <c r="U197" s="74">
        <f>$O197+Annahmen!$B$10+(T197*Annahmen!$B$11)</f>
        <v>98.82</v>
      </c>
      <c r="V197" s="74">
        <f t="shared" si="31"/>
        <v>56.618733870071075</v>
      </c>
      <c r="W197" s="74">
        <f t="shared" si="39"/>
        <v>495.17614789058507</v>
      </c>
    </row>
    <row r="198" spans="1:23" x14ac:dyDescent="0.35">
      <c r="A198" s="70">
        <v>45854</v>
      </c>
      <c r="B198" s="71" t="str">
        <f t="shared" si="32"/>
        <v>Mi</v>
      </c>
      <c r="C198" s="69">
        <f t="shared" si="33"/>
        <v>7</v>
      </c>
      <c r="D198" s="69">
        <v>197</v>
      </c>
      <c r="E198" s="69" t="str">
        <f>IF(OR(COUNTIF(Feiertage_Hessen_2025!$C$4:$C$13,A198)&gt;0,WEEKDAY(A198,2)=7),"FT",IF(WEEKDAY(A198,2)=6,"SA","WT"))</f>
        <v>WT</v>
      </c>
      <c r="F198" s="69">
        <f>INDEX('BDEW-H25 Tagessummen'!$C$4:$C$39, MATCH(C198&amp;"_"&amp;E198, 'BDEW-H25 Tagessummen'!$D$4:$D$39, 0))</f>
        <v>2915.4739999999988</v>
      </c>
      <c r="G198" s="69">
        <f t="shared" si="30"/>
        <v>0.78542127544800022</v>
      </c>
      <c r="H198" s="69">
        <f>Tabelle1[[#This Row],[Profilwert (kWh)]]*Tabelle1[[#This Row],[Dynamisierungsfaktor]]</f>
        <v>2289.8753076154821</v>
      </c>
      <c r="I198" s="69">
        <f>Annahmen!$B$5*(H198/SUM($H$2:$H$366))</f>
        <v>11.454328793677291</v>
      </c>
      <c r="J198" s="69">
        <f>Annahmen!$B$6</f>
        <v>130</v>
      </c>
      <c r="K198" s="69">
        <f t="shared" si="34"/>
        <v>1489.0627431780479</v>
      </c>
      <c r="L198" s="69">
        <f>I198*Annahmen!$B$7</f>
        <v>8.0180301555741043</v>
      </c>
      <c r="M198" s="69">
        <f>I198*(1-Annahmen!$B$7)</f>
        <v>3.4362986381031879</v>
      </c>
      <c r="N198" s="69">
        <f>Annahmen!$B$8</f>
        <v>78</v>
      </c>
      <c r="O198" s="72">
        <f>INDEX(Quelle_SMARD_Preise_2025!$C$11:$C$375, MATCH($A198,Quelle_SMARD_Preise_2025!$A$11:$A$375, 0))</f>
        <v>95.75</v>
      </c>
      <c r="P198" s="69">
        <f t="shared" si="35"/>
        <v>625.40635213478015</v>
      </c>
      <c r="Q198" s="69">
        <f t="shared" si="36"/>
        <v>329.02559459838022</v>
      </c>
      <c r="R198" s="73">
        <f>Annahmen!$B$9</f>
        <v>0.05</v>
      </c>
      <c r="S198" s="69">
        <f t="shared" si="37"/>
        <v>0.57271643968386454</v>
      </c>
      <c r="T198" s="69">
        <f t="shared" si="38"/>
        <v>0</v>
      </c>
      <c r="U198" s="74">
        <f>$O198+Annahmen!$B$10+(T198*Annahmen!$B$11)</f>
        <v>103.75</v>
      </c>
      <c r="V198" s="74">
        <f t="shared" si="31"/>
        <v>59.419330617200949</v>
      </c>
      <c r="W198" s="74">
        <f t="shared" si="39"/>
        <v>475.21146582768648</v>
      </c>
    </row>
    <row r="199" spans="1:23" x14ac:dyDescent="0.35">
      <c r="A199" s="70">
        <v>45855</v>
      </c>
      <c r="B199" s="71" t="str">
        <f t="shared" si="32"/>
        <v>Do</v>
      </c>
      <c r="C199" s="69">
        <f t="shared" si="33"/>
        <v>7</v>
      </c>
      <c r="D199" s="69">
        <v>198</v>
      </c>
      <c r="E199" s="69" t="str">
        <f>IF(OR(COUNTIF(Feiertage_Hessen_2025!$C$4:$C$13,A199)&gt;0,WEEKDAY(A199,2)=7),"FT",IF(WEEKDAY(A199,2)=6,"SA","WT"))</f>
        <v>WT</v>
      </c>
      <c r="F199" s="69">
        <f>INDEX('BDEW-H25 Tagessummen'!$C$4:$C$39, MATCH(C199&amp;"_"&amp;E199, 'BDEW-H25 Tagessummen'!$D$4:$D$39, 0))</f>
        <v>2915.4739999999988</v>
      </c>
      <c r="G199" s="69">
        <f t="shared" si="30"/>
        <v>0.78515882252799984</v>
      </c>
      <c r="H199" s="69">
        <f>Tabelle1[[#This Row],[Profilwert (kWh)]]*Tabelle1[[#This Row],[Dynamisierungsfaktor]]</f>
        <v>2289.110132950997</v>
      </c>
      <c r="I199" s="69">
        <f>Annahmen!$B$5*(H199/SUM($H$2:$H$366))</f>
        <v>11.450501265530908</v>
      </c>
      <c r="J199" s="69">
        <f>Annahmen!$B$6</f>
        <v>130</v>
      </c>
      <c r="K199" s="69">
        <f t="shared" si="34"/>
        <v>1488.565164519018</v>
      </c>
      <c r="L199" s="69">
        <f>I199*Annahmen!$B$7</f>
        <v>8.0153508858716354</v>
      </c>
      <c r="M199" s="69">
        <f>I199*(1-Annahmen!$B$7)</f>
        <v>3.4351503796592731</v>
      </c>
      <c r="N199" s="69">
        <f>Annahmen!$B$8</f>
        <v>78</v>
      </c>
      <c r="O199" s="72">
        <f>INDEX(Quelle_SMARD_Preise_2025!$C$11:$C$375, MATCH($A199,Quelle_SMARD_Preise_2025!$A$11:$A$375, 0))</f>
        <v>92.61</v>
      </c>
      <c r="P199" s="69">
        <f t="shared" si="35"/>
        <v>625.19736909798758</v>
      </c>
      <c r="Q199" s="69">
        <f t="shared" si="36"/>
        <v>318.1292766602453</v>
      </c>
      <c r="R199" s="73">
        <f>Annahmen!$B$9</f>
        <v>0.05</v>
      </c>
      <c r="S199" s="69">
        <f t="shared" si="37"/>
        <v>0.5725250632765454</v>
      </c>
      <c r="T199" s="69">
        <f t="shared" si="38"/>
        <v>0</v>
      </c>
      <c r="U199" s="74">
        <f>$O199+Annahmen!$B$10+(T199*Annahmen!$B$11)</f>
        <v>100.61</v>
      </c>
      <c r="V199" s="74">
        <f t="shared" si="31"/>
        <v>57.60174661625323</v>
      </c>
      <c r="W199" s="74">
        <f t="shared" si="39"/>
        <v>487.6367721445319</v>
      </c>
    </row>
    <row r="200" spans="1:23" x14ac:dyDescent="0.35">
      <c r="A200" s="70">
        <v>45856</v>
      </c>
      <c r="B200" s="71" t="str">
        <f t="shared" si="32"/>
        <v>Fr</v>
      </c>
      <c r="C200" s="69">
        <f t="shared" si="33"/>
        <v>7</v>
      </c>
      <c r="D200" s="69">
        <v>199</v>
      </c>
      <c r="E200" s="69" t="str">
        <f>IF(OR(COUNTIF(Feiertage_Hessen_2025!$C$4:$C$13,A200)&gt;0,WEEKDAY(A200,2)=7),"FT",IF(WEEKDAY(A200,2)=6,"SA","WT"))</f>
        <v>WT</v>
      </c>
      <c r="F200" s="69">
        <f>INDEX('BDEW-H25 Tagessummen'!$C$4:$C$39, MATCH(C200&amp;"_"&amp;E200, 'BDEW-H25 Tagessummen'!$D$4:$D$39, 0))</f>
        <v>2915.4739999999988</v>
      </c>
      <c r="G200" s="69">
        <f t="shared" si="30"/>
        <v>0.7849517132080005</v>
      </c>
      <c r="H200" s="69">
        <f>Tabelle1[[#This Row],[Profilwert (kWh)]]*Tabelle1[[#This Row],[Dynamisierungsfaktor]]</f>
        <v>2288.5063111133809</v>
      </c>
      <c r="I200" s="69">
        <f>Annahmen!$B$5*(H200/SUM($H$2:$H$366))</f>
        <v>11.447480850472562</v>
      </c>
      <c r="J200" s="69">
        <f>Annahmen!$B$6</f>
        <v>130</v>
      </c>
      <c r="K200" s="69">
        <f t="shared" si="34"/>
        <v>1488.172510561433</v>
      </c>
      <c r="L200" s="69">
        <f>I200*Annahmen!$B$7</f>
        <v>8.0132365953307936</v>
      </c>
      <c r="M200" s="69">
        <f>I200*(1-Annahmen!$B$7)</f>
        <v>3.4342442551417691</v>
      </c>
      <c r="N200" s="69">
        <f>Annahmen!$B$8</f>
        <v>78</v>
      </c>
      <c r="O200" s="72">
        <f>INDEX(Quelle_SMARD_Preise_2025!$C$11:$C$375, MATCH($A200,Quelle_SMARD_Preise_2025!$A$11:$A$375, 0))</f>
        <v>100.93</v>
      </c>
      <c r="P200" s="69">
        <f t="shared" si="35"/>
        <v>625.03245443580192</v>
      </c>
      <c r="Q200" s="69">
        <f t="shared" si="36"/>
        <v>346.61827267145878</v>
      </c>
      <c r="R200" s="73">
        <f>Annahmen!$B$9</f>
        <v>0.05</v>
      </c>
      <c r="S200" s="69">
        <f t="shared" si="37"/>
        <v>0.57237404252362811</v>
      </c>
      <c r="T200" s="69">
        <f t="shared" si="38"/>
        <v>0</v>
      </c>
      <c r="U200" s="74">
        <f>$O200+Annahmen!$B$10+(T200*Annahmen!$B$11)</f>
        <v>108.93</v>
      </c>
      <c r="V200" s="74">
        <f t="shared" si="31"/>
        <v>62.348704452098815</v>
      </c>
      <c r="W200" s="74">
        <f t="shared" si="39"/>
        <v>454.17307900207345</v>
      </c>
    </row>
    <row r="201" spans="1:23" x14ac:dyDescent="0.35">
      <c r="A201" s="70">
        <v>45857</v>
      </c>
      <c r="B201" s="71" t="str">
        <f t="shared" si="32"/>
        <v>Sa</v>
      </c>
      <c r="C201" s="69">
        <f t="shared" si="33"/>
        <v>7</v>
      </c>
      <c r="D201" s="69">
        <v>200</v>
      </c>
      <c r="E201" s="69" t="str">
        <f>IF(OR(COUNTIF(Feiertage_Hessen_2025!$C$4:$C$13,A201)&gt;0,WEEKDAY(A201,2)=7),"FT",IF(WEEKDAY(A201,2)=6,"SA","WT"))</f>
        <v>SA</v>
      </c>
      <c r="F201" s="69">
        <f>INDEX('BDEW-H25 Tagessummen'!$C$4:$C$39, MATCH(C201&amp;"_"&amp;E201, 'BDEW-H25 Tagessummen'!$D$4:$D$39, 0))</f>
        <v>3277.9329999999995</v>
      </c>
      <c r="G201" s="69">
        <f t="shared" si="30"/>
        <v>0.78480000000000028</v>
      </c>
      <c r="H201" s="69">
        <f>Tabelle1[[#This Row],[Profilwert (kWh)]]*Tabelle1[[#This Row],[Dynamisierungsfaktor]]</f>
        <v>2572.5218184000005</v>
      </c>
      <c r="I201" s="69">
        <f>Annahmen!$B$5*(H201/SUM($H$2:$H$366))</f>
        <v>12.86817262008322</v>
      </c>
      <c r="J201" s="69">
        <f>Annahmen!$B$6</f>
        <v>130</v>
      </c>
      <c r="K201" s="69">
        <f t="shared" si="34"/>
        <v>1672.8624406108186</v>
      </c>
      <c r="L201" s="69">
        <f>I201*Annahmen!$B$7</f>
        <v>9.0077208340582526</v>
      </c>
      <c r="M201" s="69">
        <f>I201*(1-Annahmen!$B$7)</f>
        <v>3.8604517860249663</v>
      </c>
      <c r="N201" s="69">
        <f>Annahmen!$B$8</f>
        <v>78</v>
      </c>
      <c r="O201" s="72">
        <f>INDEX(Quelle_SMARD_Preise_2025!$C$11:$C$375, MATCH($A201,Quelle_SMARD_Preise_2025!$A$11:$A$375, 0))</f>
        <v>70.14</v>
      </c>
      <c r="P201" s="69">
        <f t="shared" si="35"/>
        <v>702.60222505654372</v>
      </c>
      <c r="Q201" s="69">
        <f t="shared" si="36"/>
        <v>270.77208827179112</v>
      </c>
      <c r="R201" s="73">
        <f>Annahmen!$B$9</f>
        <v>0.05</v>
      </c>
      <c r="S201" s="69">
        <f t="shared" si="37"/>
        <v>0.64340863100416101</v>
      </c>
      <c r="T201" s="69">
        <f t="shared" si="38"/>
        <v>0</v>
      </c>
      <c r="U201" s="74">
        <f>$O201+Annahmen!$B$10+(T201*Annahmen!$B$11)</f>
        <v>78.14</v>
      </c>
      <c r="V201" s="74">
        <f t="shared" si="31"/>
        <v>50.27595042666514</v>
      </c>
      <c r="W201" s="74">
        <f t="shared" si="39"/>
        <v>649.21217685581848</v>
      </c>
    </row>
    <row r="202" spans="1:23" x14ac:dyDescent="0.35">
      <c r="A202" s="70">
        <v>45858</v>
      </c>
      <c r="B202" s="71" t="str">
        <f t="shared" si="32"/>
        <v>So</v>
      </c>
      <c r="C202" s="69">
        <f t="shared" si="33"/>
        <v>7</v>
      </c>
      <c r="D202" s="69">
        <v>201</v>
      </c>
      <c r="E202" s="69" t="str">
        <f>IF(OR(COUNTIF(Feiertage_Hessen_2025!$C$4:$C$13,A202)&gt;0,WEEKDAY(A202,2)=7),"FT",IF(WEEKDAY(A202,2)=6,"SA","WT"))</f>
        <v>FT</v>
      </c>
      <c r="F202" s="69">
        <f>INDEX('BDEW-H25 Tagessummen'!$C$4:$C$39, MATCH(C202&amp;"_"&amp;E202, 'BDEW-H25 Tagessummen'!$D$4:$D$39, 0))</f>
        <v>3361.2320000000013</v>
      </c>
      <c r="G202" s="69">
        <f t="shared" si="30"/>
        <v>0.78470372600799987</v>
      </c>
      <c r="H202" s="69">
        <f>Tabelle1[[#This Row],[Profilwert (kWh)]]*Tabelle1[[#This Row],[Dynamisierungsfaktor]]</f>
        <v>2637.5712743773224</v>
      </c>
      <c r="I202" s="69">
        <f>Annahmen!$B$5*(H202/SUM($H$2:$H$366))</f>
        <v>13.193560580788372</v>
      </c>
      <c r="J202" s="69">
        <f>Annahmen!$B$6</f>
        <v>130</v>
      </c>
      <c r="K202" s="69">
        <f t="shared" si="34"/>
        <v>1715.1628755024883</v>
      </c>
      <c r="L202" s="69">
        <f>I202*Annahmen!$B$7</f>
        <v>9.2354924065518595</v>
      </c>
      <c r="M202" s="69">
        <f>I202*(1-Annahmen!$B$7)</f>
        <v>3.9580681742365122</v>
      </c>
      <c r="N202" s="69">
        <f>Annahmen!$B$8</f>
        <v>78</v>
      </c>
      <c r="O202" s="72">
        <f>INDEX(Quelle_SMARD_Preise_2025!$C$11:$C$375, MATCH($A202,Quelle_SMARD_Preise_2025!$A$11:$A$375, 0))</f>
        <v>71.48</v>
      </c>
      <c r="P202" s="69">
        <f t="shared" si="35"/>
        <v>720.36840771104505</v>
      </c>
      <c r="Q202" s="69">
        <f t="shared" si="36"/>
        <v>282.92271309442589</v>
      </c>
      <c r="R202" s="73">
        <f>Annahmen!$B$9</f>
        <v>0.05</v>
      </c>
      <c r="S202" s="69">
        <f t="shared" si="37"/>
        <v>0.65967802903941863</v>
      </c>
      <c r="T202" s="69">
        <f t="shared" si="38"/>
        <v>0</v>
      </c>
      <c r="U202" s="74">
        <f>$O202+Annahmen!$B$10+(T202*Annahmen!$B$11)</f>
        <v>79.48</v>
      </c>
      <c r="V202" s="74">
        <f t="shared" si="31"/>
        <v>52.431209748052993</v>
      </c>
      <c r="W202" s="74">
        <f t="shared" si="39"/>
        <v>659.44054494896443</v>
      </c>
    </row>
    <row r="203" spans="1:23" x14ac:dyDescent="0.35">
      <c r="A203" s="70">
        <v>45859</v>
      </c>
      <c r="B203" s="71" t="str">
        <f t="shared" si="32"/>
        <v>Mo</v>
      </c>
      <c r="C203" s="69">
        <f t="shared" si="33"/>
        <v>7</v>
      </c>
      <c r="D203" s="69">
        <v>202</v>
      </c>
      <c r="E203" s="69" t="str">
        <f>IF(OR(COUNTIF(Feiertage_Hessen_2025!$C$4:$C$13,A203)&gt;0,WEEKDAY(A203,2)=7),"FT",IF(WEEKDAY(A203,2)=6,"SA","WT"))</f>
        <v>WT</v>
      </c>
      <c r="F203" s="69">
        <f>INDEX('BDEW-H25 Tagessummen'!$C$4:$C$39, MATCH(C203&amp;"_"&amp;E203, 'BDEW-H25 Tagessummen'!$D$4:$D$39, 0))</f>
        <v>2915.4739999999988</v>
      </c>
      <c r="G203" s="69">
        <f t="shared" si="30"/>
        <v>0.78466292492799994</v>
      </c>
      <c r="H203" s="69">
        <f>Tabelle1[[#This Row],[Profilwert (kWh)]]*Tabelle1[[#This Row],[Dynamisierungsfaktor]]</f>
        <v>2287.664356391535</v>
      </c>
      <c r="I203" s="69">
        <f>Annahmen!$B$5*(H203/SUM($H$2:$H$366))</f>
        <v>11.44326925598908</v>
      </c>
      <c r="J203" s="69">
        <f>Annahmen!$B$6</f>
        <v>130</v>
      </c>
      <c r="K203" s="69">
        <f t="shared" si="34"/>
        <v>1487.6250032785804</v>
      </c>
      <c r="L203" s="69">
        <f>I203*Annahmen!$B$7</f>
        <v>8.0102884791923561</v>
      </c>
      <c r="M203" s="69">
        <f>I203*(1-Annahmen!$B$7)</f>
        <v>3.4329807767967244</v>
      </c>
      <c r="N203" s="69">
        <f>Annahmen!$B$8</f>
        <v>78</v>
      </c>
      <c r="O203" s="72">
        <f>INDEX(Quelle_SMARD_Preise_2025!$C$11:$C$375, MATCH($A203,Quelle_SMARD_Preise_2025!$A$11:$A$375, 0))</f>
        <v>100.23</v>
      </c>
      <c r="P203" s="69">
        <f t="shared" si="35"/>
        <v>624.80250137700375</v>
      </c>
      <c r="Q203" s="69">
        <f t="shared" si="36"/>
        <v>344.08766325833568</v>
      </c>
      <c r="R203" s="73">
        <f>Annahmen!$B$9</f>
        <v>0.05</v>
      </c>
      <c r="S203" s="69">
        <f t="shared" si="37"/>
        <v>0.57216346279945396</v>
      </c>
      <c r="T203" s="69">
        <f t="shared" si="38"/>
        <v>0</v>
      </c>
      <c r="U203" s="74">
        <f>$O203+Annahmen!$B$10+(T203*Annahmen!$B$11)</f>
        <v>108.23</v>
      </c>
      <c r="V203" s="74">
        <f t="shared" si="31"/>
        <v>61.925251578784902</v>
      </c>
      <c r="W203" s="74">
        <f t="shared" si="39"/>
        <v>456.80958706445597</v>
      </c>
    </row>
    <row r="204" spans="1:23" x14ac:dyDescent="0.35">
      <c r="A204" s="70">
        <v>45860</v>
      </c>
      <c r="B204" s="71" t="str">
        <f t="shared" si="32"/>
        <v>Di</v>
      </c>
      <c r="C204" s="69">
        <f t="shared" si="33"/>
        <v>7</v>
      </c>
      <c r="D204" s="69">
        <v>203</v>
      </c>
      <c r="E204" s="69" t="str">
        <f>IF(OR(COUNTIF(Feiertage_Hessen_2025!$C$4:$C$13,A204)&gt;0,WEEKDAY(A204,2)=7),"FT",IF(WEEKDAY(A204,2)=6,"SA","WT"))</f>
        <v>WT</v>
      </c>
      <c r="F204" s="69">
        <f>INDEX('BDEW-H25 Tagessummen'!$C$4:$C$39, MATCH(C204&amp;"_"&amp;E204, 'BDEW-H25 Tagessummen'!$D$4:$D$39, 0))</f>
        <v>2915.4739999999988</v>
      </c>
      <c r="G204" s="69">
        <f t="shared" si="30"/>
        <v>0.78467762104800043</v>
      </c>
      <c r="H204" s="69">
        <f>Tabelle1[[#This Row],[Profilwert (kWh)]]*Tabelle1[[#This Row],[Dynamisierungsfaktor]]</f>
        <v>2287.7072025472971</v>
      </c>
      <c r="I204" s="69">
        <f>Annahmen!$B$5*(H204/SUM($H$2:$H$366))</f>
        <v>11.443483579430193</v>
      </c>
      <c r="J204" s="69">
        <f>Annahmen!$B$6</f>
        <v>130</v>
      </c>
      <c r="K204" s="69">
        <f t="shared" si="34"/>
        <v>1487.6528653259252</v>
      </c>
      <c r="L204" s="69">
        <f>I204*Annahmen!$B$7</f>
        <v>8.0104385056011349</v>
      </c>
      <c r="M204" s="69">
        <f>I204*(1-Annahmen!$B$7)</f>
        <v>3.4330450738290583</v>
      </c>
      <c r="N204" s="69">
        <f>Annahmen!$B$8</f>
        <v>78</v>
      </c>
      <c r="O204" s="72">
        <f>INDEX(Quelle_SMARD_Preise_2025!$C$11:$C$375, MATCH($A204,Quelle_SMARD_Preise_2025!$A$11:$A$375, 0))</f>
        <v>78.38</v>
      </c>
      <c r="P204" s="69">
        <f t="shared" si="35"/>
        <v>624.81420343688853</v>
      </c>
      <c r="Q204" s="69">
        <f t="shared" si="36"/>
        <v>269.08207288672156</v>
      </c>
      <c r="R204" s="73">
        <f>Annahmen!$B$9</f>
        <v>0.05</v>
      </c>
      <c r="S204" s="69">
        <f t="shared" si="37"/>
        <v>0.57217417897150968</v>
      </c>
      <c r="T204" s="69">
        <f t="shared" si="38"/>
        <v>0</v>
      </c>
      <c r="U204" s="74">
        <f>$O204+Annahmen!$B$10+(T204*Annahmen!$B$11)</f>
        <v>86.38</v>
      </c>
      <c r="V204" s="74">
        <f t="shared" si="31"/>
        <v>49.424405579559007</v>
      </c>
      <c r="W204" s="74">
        <f t="shared" si="39"/>
        <v>544.33218342275609</v>
      </c>
    </row>
    <row r="205" spans="1:23" x14ac:dyDescent="0.35">
      <c r="A205" s="70">
        <v>45861</v>
      </c>
      <c r="B205" s="71" t="str">
        <f t="shared" si="32"/>
        <v>Mi</v>
      </c>
      <c r="C205" s="69">
        <f t="shared" si="33"/>
        <v>7</v>
      </c>
      <c r="D205" s="69">
        <v>204</v>
      </c>
      <c r="E205" s="69" t="str">
        <f>IF(OR(COUNTIF(Feiertage_Hessen_2025!$C$4:$C$13,A205)&gt;0,WEEKDAY(A205,2)=7),"FT",IF(WEEKDAY(A205,2)=6,"SA","WT"))</f>
        <v>WT</v>
      </c>
      <c r="F205" s="69">
        <f>INDEX('BDEW-H25 Tagessummen'!$C$4:$C$39, MATCH(C205&amp;"_"&amp;E205, 'BDEW-H25 Tagessummen'!$D$4:$D$39, 0))</f>
        <v>2915.4739999999988</v>
      </c>
      <c r="G205" s="69">
        <f t="shared" si="30"/>
        <v>0.78474782924799991</v>
      </c>
      <c r="H205" s="69">
        <f>Tabelle1[[#This Row],[Profilwert (kWh)]]*Tabelle1[[#This Row],[Dynamisierungsfaktor]]</f>
        <v>2287.9118927289824</v>
      </c>
      <c r="I205" s="69">
        <f>Annahmen!$B$5*(H205/SUM($H$2:$H$366))</f>
        <v>11.444507473016914</v>
      </c>
      <c r="J205" s="69">
        <f>Annahmen!$B$6</f>
        <v>130</v>
      </c>
      <c r="K205" s="69">
        <f t="shared" si="34"/>
        <v>1487.7859714921988</v>
      </c>
      <c r="L205" s="69">
        <f>I205*Annahmen!$B$7</f>
        <v>8.0111552311118395</v>
      </c>
      <c r="M205" s="69">
        <f>I205*(1-Annahmen!$B$7)</f>
        <v>3.4333522419050748</v>
      </c>
      <c r="N205" s="69">
        <f>Annahmen!$B$8</f>
        <v>78</v>
      </c>
      <c r="O205" s="72">
        <f>INDEX(Quelle_SMARD_Preise_2025!$C$11:$C$375, MATCH($A205,Quelle_SMARD_Preise_2025!$A$11:$A$375, 0))</f>
        <v>78.25</v>
      </c>
      <c r="P205" s="69">
        <f t="shared" si="35"/>
        <v>624.87010802672353</v>
      </c>
      <c r="Q205" s="69">
        <f t="shared" si="36"/>
        <v>268.65981292907213</v>
      </c>
      <c r="R205" s="73">
        <f>Annahmen!$B$9</f>
        <v>0.05</v>
      </c>
      <c r="S205" s="69">
        <f t="shared" si="37"/>
        <v>0.57222537365084569</v>
      </c>
      <c r="T205" s="69">
        <f t="shared" si="38"/>
        <v>0</v>
      </c>
      <c r="U205" s="74">
        <f>$O205+Annahmen!$B$10+(T205*Annahmen!$B$11)</f>
        <v>86.25</v>
      </c>
      <c r="V205" s="74">
        <f t="shared" si="31"/>
        <v>49.354438477385443</v>
      </c>
      <c r="W205" s="74">
        <f t="shared" si="39"/>
        <v>544.90161205901768</v>
      </c>
    </row>
    <row r="206" spans="1:23" x14ac:dyDescent="0.35">
      <c r="A206" s="70">
        <v>45862</v>
      </c>
      <c r="B206" s="71" t="str">
        <f t="shared" si="32"/>
        <v>Do</v>
      </c>
      <c r="C206" s="69">
        <f t="shared" si="33"/>
        <v>7</v>
      </c>
      <c r="D206" s="69">
        <v>205</v>
      </c>
      <c r="E206" s="69" t="str">
        <f>IF(OR(COUNTIF(Feiertage_Hessen_2025!$C$4:$C$13,A206)&gt;0,WEEKDAY(A206,2)=7),"FT",IF(WEEKDAY(A206,2)=6,"SA","WT"))</f>
        <v>WT</v>
      </c>
      <c r="F206" s="69">
        <f>INDEX('BDEW-H25 Tagessummen'!$C$4:$C$39, MATCH(C206&amp;"_"&amp;E206, 'BDEW-H25 Tagessummen'!$D$4:$D$39, 0))</f>
        <v>2915.4739999999988</v>
      </c>
      <c r="G206" s="69">
        <f t="shared" si="30"/>
        <v>0.78487355499999989</v>
      </c>
      <c r="H206" s="69">
        <f>Tabelle1[[#This Row],[Profilwert (kWh)]]*Tabelle1[[#This Row],[Dynamisierungsfaktor]]</f>
        <v>2288.2784428900686</v>
      </c>
      <c r="I206" s="69">
        <f>Annahmen!$B$5*(H206/SUM($H$2:$H$366))</f>
        <v>11.446341016551139</v>
      </c>
      <c r="J206" s="69">
        <f>Annahmen!$B$6</f>
        <v>130</v>
      </c>
      <c r="K206" s="69">
        <f t="shared" si="34"/>
        <v>1488.0243321516482</v>
      </c>
      <c r="L206" s="69">
        <f>I206*Annahmen!$B$7</f>
        <v>8.0124387115857978</v>
      </c>
      <c r="M206" s="69">
        <f>I206*(1-Annahmen!$B$7)</f>
        <v>3.4339023049653425</v>
      </c>
      <c r="N206" s="69">
        <f>Annahmen!$B$8</f>
        <v>78</v>
      </c>
      <c r="O206" s="72">
        <f>INDEX(Quelle_SMARD_Preise_2025!$C$11:$C$375, MATCH($A206,Quelle_SMARD_Preise_2025!$A$11:$A$375, 0))</f>
        <v>102.55</v>
      </c>
      <c r="P206" s="69">
        <f t="shared" si="35"/>
        <v>624.97021950369219</v>
      </c>
      <c r="Q206" s="69">
        <f t="shared" si="36"/>
        <v>352.14668137419585</v>
      </c>
      <c r="R206" s="73">
        <f>Annahmen!$B$9</f>
        <v>0.05</v>
      </c>
      <c r="S206" s="69">
        <f t="shared" si="37"/>
        <v>0.57231705082755702</v>
      </c>
      <c r="T206" s="69">
        <f t="shared" si="38"/>
        <v>0</v>
      </c>
      <c r="U206" s="74">
        <f>$O206+Annahmen!$B$10+(T206*Annahmen!$B$11)</f>
        <v>110.55</v>
      </c>
      <c r="V206" s="74">
        <f t="shared" si="31"/>
        <v>63.269649968986428</v>
      </c>
      <c r="W206" s="74">
        <f t="shared" si="39"/>
        <v>447.63778130477374</v>
      </c>
    </row>
    <row r="207" spans="1:23" x14ac:dyDescent="0.35">
      <c r="A207" s="70">
        <v>45863</v>
      </c>
      <c r="B207" s="71" t="str">
        <f t="shared" si="32"/>
        <v>Fr</v>
      </c>
      <c r="C207" s="69">
        <f t="shared" si="33"/>
        <v>7</v>
      </c>
      <c r="D207" s="69">
        <v>206</v>
      </c>
      <c r="E207" s="69" t="str">
        <f>IF(OR(COUNTIF(Feiertage_Hessen_2025!$C$4:$C$13,A207)&gt;0,WEEKDAY(A207,2)=7),"FT",IF(WEEKDAY(A207,2)=6,"SA","WT"))</f>
        <v>WT</v>
      </c>
      <c r="F207" s="69">
        <f>INDEX('BDEW-H25 Tagessummen'!$C$4:$C$39, MATCH(C207&amp;"_"&amp;E207, 'BDEW-H25 Tagessummen'!$D$4:$D$39, 0))</f>
        <v>2915.4739999999988</v>
      </c>
      <c r="G207" s="69">
        <f t="shared" si="30"/>
        <v>0.78505479436800041</v>
      </c>
      <c r="H207" s="69">
        <f>Tabelle1[[#This Row],[Profilwert (kWh)]]*Tabelle1[[#This Row],[Dynamisierungsfaktor]]</f>
        <v>2288.8068415552507</v>
      </c>
      <c r="I207" s="69">
        <f>Annahmen!$B$5*(H207/SUM($H$2:$H$366))</f>
        <v>11.448984152631521</v>
      </c>
      <c r="J207" s="69">
        <f>Annahmen!$B$6</f>
        <v>130</v>
      </c>
      <c r="K207" s="69">
        <f t="shared" si="34"/>
        <v>1488.3679398420977</v>
      </c>
      <c r="L207" s="69">
        <f>I207*Annahmen!$B$7</f>
        <v>8.0142889068420651</v>
      </c>
      <c r="M207" s="69">
        <f>I207*(1-Annahmen!$B$7)</f>
        <v>3.4346952457894568</v>
      </c>
      <c r="N207" s="69">
        <f>Annahmen!$B$8</f>
        <v>78</v>
      </c>
      <c r="O207" s="72">
        <f>INDEX(Quelle_SMARD_Preise_2025!$C$11:$C$375, MATCH($A207,Quelle_SMARD_Preise_2025!$A$11:$A$375, 0))</f>
        <v>97.43</v>
      </c>
      <c r="P207" s="69">
        <f t="shared" si="35"/>
        <v>625.11453473368113</v>
      </c>
      <c r="Q207" s="69">
        <f t="shared" si="36"/>
        <v>334.64235779726681</v>
      </c>
      <c r="R207" s="73">
        <f>Annahmen!$B$9</f>
        <v>0.05</v>
      </c>
      <c r="S207" s="69">
        <f t="shared" si="37"/>
        <v>0.57244920763157603</v>
      </c>
      <c r="T207" s="69">
        <f t="shared" si="38"/>
        <v>0</v>
      </c>
      <c r="U207" s="74">
        <f>$O207+Annahmen!$B$10+(T207*Annahmen!$B$11)</f>
        <v>105.43</v>
      </c>
      <c r="V207" s="74">
        <f t="shared" si="31"/>
        <v>60.353319960597062</v>
      </c>
      <c r="W207" s="74">
        <f t="shared" si="39"/>
        <v>468.25772735055278</v>
      </c>
    </row>
    <row r="208" spans="1:23" x14ac:dyDescent="0.35">
      <c r="A208" s="70">
        <v>45864</v>
      </c>
      <c r="B208" s="71" t="str">
        <f t="shared" si="32"/>
        <v>Sa</v>
      </c>
      <c r="C208" s="69">
        <f t="shared" si="33"/>
        <v>7</v>
      </c>
      <c r="D208" s="69">
        <v>207</v>
      </c>
      <c r="E208" s="69" t="str">
        <f>IF(OR(COUNTIF(Feiertage_Hessen_2025!$C$4:$C$13,A208)&gt;0,WEEKDAY(A208,2)=7),"FT",IF(WEEKDAY(A208,2)=6,"SA","WT"))</f>
        <v>SA</v>
      </c>
      <c r="F208" s="69">
        <f>INDEX('BDEW-H25 Tagessummen'!$C$4:$C$39, MATCH(C208&amp;"_"&amp;E208, 'BDEW-H25 Tagessummen'!$D$4:$D$39, 0))</f>
        <v>3277.9329999999995</v>
      </c>
      <c r="G208" s="69">
        <f t="shared" si="30"/>
        <v>0.78529153400800045</v>
      </c>
      <c r="H208" s="69">
        <f>Tabelle1[[#This Row],[Profilwert (kWh)]]*Tabelle1[[#This Row],[Dynamisierungsfaktor]]</f>
        <v>2574.1330339454466</v>
      </c>
      <c r="I208" s="69">
        <f>Annahmen!$B$5*(H208/SUM($H$2:$H$366))</f>
        <v>12.876232182345692</v>
      </c>
      <c r="J208" s="69">
        <f>Annahmen!$B$6</f>
        <v>130</v>
      </c>
      <c r="K208" s="69">
        <f t="shared" si="34"/>
        <v>1673.91018370494</v>
      </c>
      <c r="L208" s="69">
        <f>I208*Annahmen!$B$7</f>
        <v>9.0133625276419842</v>
      </c>
      <c r="M208" s="69">
        <f>I208*(1-Annahmen!$B$7)</f>
        <v>3.862869654703708</v>
      </c>
      <c r="N208" s="69">
        <f>Annahmen!$B$8</f>
        <v>78</v>
      </c>
      <c r="O208" s="72">
        <f>INDEX(Quelle_SMARD_Preise_2025!$C$11:$C$375, MATCH($A208,Quelle_SMARD_Preise_2025!$A$11:$A$375, 0))</f>
        <v>91.16</v>
      </c>
      <c r="P208" s="69">
        <f t="shared" si="35"/>
        <v>703.04227715607476</v>
      </c>
      <c r="Q208" s="69">
        <f t="shared" si="36"/>
        <v>352.13919772279002</v>
      </c>
      <c r="R208" s="73">
        <f>Annahmen!$B$9</f>
        <v>0.05</v>
      </c>
      <c r="S208" s="69">
        <f t="shared" si="37"/>
        <v>0.64381160911728463</v>
      </c>
      <c r="T208" s="69">
        <f t="shared" si="38"/>
        <v>0</v>
      </c>
      <c r="U208" s="74">
        <f>$O208+Annahmen!$B$10+(T208*Annahmen!$B$11)</f>
        <v>99.16</v>
      </c>
      <c r="V208" s="74">
        <f t="shared" si="31"/>
        <v>63.840359160069944</v>
      </c>
      <c r="W208" s="74">
        <f t="shared" si="39"/>
        <v>554.8883496660053</v>
      </c>
    </row>
    <row r="209" spans="1:23" x14ac:dyDescent="0.35">
      <c r="A209" s="70">
        <v>45865</v>
      </c>
      <c r="B209" s="71" t="str">
        <f t="shared" si="32"/>
        <v>So</v>
      </c>
      <c r="C209" s="69">
        <f t="shared" si="33"/>
        <v>7</v>
      </c>
      <c r="D209" s="69">
        <v>208</v>
      </c>
      <c r="E209" s="69" t="str">
        <f>IF(OR(COUNTIF(Feiertage_Hessen_2025!$C$4:$C$13,A209)&gt;0,WEEKDAY(A209,2)=7),"FT",IF(WEEKDAY(A209,2)=6,"SA","WT"))</f>
        <v>FT</v>
      </c>
      <c r="F209" s="69">
        <f>INDEX('BDEW-H25 Tagessummen'!$C$4:$C$39, MATCH(C209&amp;"_"&amp;E209, 'BDEW-H25 Tagessummen'!$D$4:$D$39, 0))</f>
        <v>3361.2320000000013</v>
      </c>
      <c r="G209" s="69">
        <f t="shared" si="30"/>
        <v>0.78558375116800061</v>
      </c>
      <c r="H209" s="69">
        <f>Tabelle1[[#This Row],[Profilwert (kWh)]]*Tabelle1[[#This Row],[Dynamisierungsfaktor]]</f>
        <v>2640.529243105922</v>
      </c>
      <c r="I209" s="69">
        <f>Annahmen!$B$5*(H209/SUM($H$2:$H$366))</f>
        <v>13.208356821555766</v>
      </c>
      <c r="J209" s="69">
        <f>Annahmen!$B$6</f>
        <v>130</v>
      </c>
      <c r="K209" s="69">
        <f t="shared" si="34"/>
        <v>1717.0863868022495</v>
      </c>
      <c r="L209" s="69">
        <f>I209*Annahmen!$B$7</f>
        <v>9.2458497750890363</v>
      </c>
      <c r="M209" s="69">
        <f>I209*(1-Annahmen!$B$7)</f>
        <v>3.9625070464667305</v>
      </c>
      <c r="N209" s="69">
        <f>Annahmen!$B$8</f>
        <v>78</v>
      </c>
      <c r="O209" s="72">
        <f>INDEX(Quelle_SMARD_Preise_2025!$C$11:$C$375, MATCH($A209,Quelle_SMARD_Preise_2025!$A$11:$A$375, 0))</f>
        <v>79.430000000000007</v>
      </c>
      <c r="P209" s="69">
        <f t="shared" si="35"/>
        <v>721.17628245694482</v>
      </c>
      <c r="Q209" s="69">
        <f t="shared" si="36"/>
        <v>314.74193470085243</v>
      </c>
      <c r="R209" s="73">
        <f>Annahmen!$B$9</f>
        <v>0.05</v>
      </c>
      <c r="S209" s="69">
        <f t="shared" si="37"/>
        <v>0.66041784107778834</v>
      </c>
      <c r="T209" s="69">
        <f t="shared" si="38"/>
        <v>0</v>
      </c>
      <c r="U209" s="74">
        <f>$O209+Annahmen!$B$10+(T209*Annahmen!$B$11)</f>
        <v>87.43</v>
      </c>
      <c r="V209" s="74">
        <f t="shared" si="31"/>
        <v>57.740331845431037</v>
      </c>
      <c r="W209" s="74">
        <f t="shared" si="39"/>
        <v>623.42783779902129</v>
      </c>
    </row>
    <row r="210" spans="1:23" x14ac:dyDescent="0.35">
      <c r="A210" s="70">
        <v>45866</v>
      </c>
      <c r="B210" s="71" t="str">
        <f t="shared" si="32"/>
        <v>Mo</v>
      </c>
      <c r="C210" s="69">
        <f t="shared" si="33"/>
        <v>7</v>
      </c>
      <c r="D210" s="69">
        <v>209</v>
      </c>
      <c r="E210" s="69" t="str">
        <f>IF(OR(COUNTIF(Feiertage_Hessen_2025!$C$4:$C$13,A210)&gt;0,WEEKDAY(A210,2)=7),"FT",IF(WEEKDAY(A210,2)=6,"SA","WT"))</f>
        <v>WT</v>
      </c>
      <c r="F210" s="69">
        <f>INDEX('BDEW-H25 Tagessummen'!$C$4:$C$39, MATCH(C210&amp;"_"&amp;E210, 'BDEW-H25 Tagessummen'!$D$4:$D$39, 0))</f>
        <v>2915.4739999999988</v>
      </c>
      <c r="G210" s="69">
        <f t="shared" si="30"/>
        <v>0.78593141368800001</v>
      </c>
      <c r="H210" s="69">
        <f>Tabelle1[[#This Row],[Profilwert (kWh)]]*Tabelle1[[#This Row],[Dynamisierungsfaktor]]</f>
        <v>2291.3626023906072</v>
      </c>
      <c r="I210" s="69">
        <f>Annahmen!$B$5*(H210/SUM($H$2:$H$366))</f>
        <v>11.461768484087832</v>
      </c>
      <c r="J210" s="69">
        <f>Annahmen!$B$6</f>
        <v>130</v>
      </c>
      <c r="K210" s="69">
        <f t="shared" si="34"/>
        <v>1490.0299029314183</v>
      </c>
      <c r="L210" s="69">
        <f>I210*Annahmen!$B$7</f>
        <v>8.0232379388614827</v>
      </c>
      <c r="M210" s="69">
        <f>I210*(1-Annahmen!$B$7)</f>
        <v>3.4385305452263504</v>
      </c>
      <c r="N210" s="69">
        <f>Annahmen!$B$8</f>
        <v>78</v>
      </c>
      <c r="O210" s="72">
        <f>INDEX(Quelle_SMARD_Preise_2025!$C$11:$C$375, MATCH($A210,Quelle_SMARD_Preise_2025!$A$11:$A$375, 0))</f>
        <v>94.08</v>
      </c>
      <c r="P210" s="69">
        <f t="shared" si="35"/>
        <v>625.81255923119568</v>
      </c>
      <c r="Q210" s="69">
        <f t="shared" si="36"/>
        <v>323.49695369489501</v>
      </c>
      <c r="R210" s="73">
        <f>Annahmen!$B$9</f>
        <v>0.05</v>
      </c>
      <c r="S210" s="69">
        <f t="shared" si="37"/>
        <v>0.57308842420439166</v>
      </c>
      <c r="T210" s="69">
        <f t="shared" si="38"/>
        <v>0</v>
      </c>
      <c r="U210" s="74">
        <f>$O210+Annahmen!$B$10+(T210*Annahmen!$B$11)</f>
        <v>102.08</v>
      </c>
      <c r="V210" s="74">
        <f t="shared" si="31"/>
        <v>58.500866342784299</v>
      </c>
      <c r="W210" s="74">
        <f t="shared" si="39"/>
        <v>482.21952366254322</v>
      </c>
    </row>
    <row r="211" spans="1:23" x14ac:dyDescent="0.35">
      <c r="A211" s="70">
        <v>45867</v>
      </c>
      <c r="B211" s="71" t="str">
        <f t="shared" si="32"/>
        <v>Di</v>
      </c>
      <c r="C211" s="69">
        <f t="shared" si="33"/>
        <v>7</v>
      </c>
      <c r="D211" s="69">
        <v>210</v>
      </c>
      <c r="E211" s="69" t="str">
        <f>IF(OR(COUNTIF(Feiertage_Hessen_2025!$C$4:$C$13,A211)&gt;0,WEEKDAY(A211,2)=7),"FT",IF(WEEKDAY(A211,2)=6,"SA","WT"))</f>
        <v>WT</v>
      </c>
      <c r="F211" s="69">
        <f>INDEX('BDEW-H25 Tagessummen'!$C$4:$C$39, MATCH(C211&amp;"_"&amp;E211, 'BDEW-H25 Tagessummen'!$D$4:$D$39, 0))</f>
        <v>2915.4739999999988</v>
      </c>
      <c r="G211" s="69">
        <f t="shared" si="30"/>
        <v>0.78633448000000028</v>
      </c>
      <c r="H211" s="69">
        <f>Tabelle1[[#This Row],[Profilwert (kWh)]]*Tabelle1[[#This Row],[Dynamisierungsfaktor]]</f>
        <v>2292.53773174352</v>
      </c>
      <c r="I211" s="69">
        <f>Annahmen!$B$5*(H211/SUM($H$2:$H$366))</f>
        <v>11.467646672275022</v>
      </c>
      <c r="J211" s="69">
        <f>Annahmen!$B$6</f>
        <v>130</v>
      </c>
      <c r="K211" s="69">
        <f t="shared" si="34"/>
        <v>1490.7940673957528</v>
      </c>
      <c r="L211" s="69">
        <f>I211*Annahmen!$B$7</f>
        <v>8.0273526705925153</v>
      </c>
      <c r="M211" s="69">
        <f>I211*(1-Annahmen!$B$7)</f>
        <v>3.4402940016825072</v>
      </c>
      <c r="N211" s="69">
        <f>Annahmen!$B$8</f>
        <v>78</v>
      </c>
      <c r="O211" s="72">
        <f>INDEX(Quelle_SMARD_Preise_2025!$C$11:$C$375, MATCH($A211,Quelle_SMARD_Preise_2025!$A$11:$A$375, 0))</f>
        <v>76.95</v>
      </c>
      <c r="P211" s="69">
        <f t="shared" si="35"/>
        <v>626.13350830621619</v>
      </c>
      <c r="Q211" s="69">
        <f t="shared" si="36"/>
        <v>264.73062342946895</v>
      </c>
      <c r="R211" s="73">
        <f>Annahmen!$B$9</f>
        <v>0.05</v>
      </c>
      <c r="S211" s="69">
        <f t="shared" si="37"/>
        <v>0.57338233361375113</v>
      </c>
      <c r="T211" s="69">
        <f t="shared" si="38"/>
        <v>0</v>
      </c>
      <c r="U211" s="74">
        <f>$O211+Annahmen!$B$10+(T211*Annahmen!$B$11)</f>
        <v>84.95</v>
      </c>
      <c r="V211" s="74">
        <f t="shared" si="31"/>
        <v>48.708829240488157</v>
      </c>
      <c r="W211" s="74">
        <f t="shared" si="39"/>
        <v>551.22110641957954</v>
      </c>
    </row>
    <row r="212" spans="1:23" x14ac:dyDescent="0.35">
      <c r="A212" s="70">
        <v>45868</v>
      </c>
      <c r="B212" s="71" t="str">
        <f t="shared" si="32"/>
        <v>Mi</v>
      </c>
      <c r="C212" s="69">
        <f t="shared" si="33"/>
        <v>7</v>
      </c>
      <c r="D212" s="69">
        <v>211</v>
      </c>
      <c r="E212" s="69" t="str">
        <f>IF(OR(COUNTIF(Feiertage_Hessen_2025!$C$4:$C$13,A212)&gt;0,WEEKDAY(A212,2)=7),"FT",IF(WEEKDAY(A212,2)=6,"SA","WT"))</f>
        <v>WT</v>
      </c>
      <c r="F212" s="69">
        <f>INDEX('BDEW-H25 Tagessummen'!$C$4:$C$39, MATCH(C212&amp;"_"&amp;E212, 'BDEW-H25 Tagessummen'!$D$4:$D$39, 0))</f>
        <v>2915.4739999999988</v>
      </c>
      <c r="G212" s="69">
        <f t="shared" si="30"/>
        <v>0.78679289912799977</v>
      </c>
      <c r="H212" s="69">
        <f>Tabelle1[[#This Row],[Profilwert (kWh)]]*Tabelle1[[#This Row],[Dynamisierungsfaktor]]</f>
        <v>2293.874240792305</v>
      </c>
      <c r="I212" s="69">
        <f>Annahmen!$B$5*(H212/SUM($H$2:$H$366))</f>
        <v>11.474332107953373</v>
      </c>
      <c r="J212" s="69">
        <f>Annahmen!$B$6</f>
        <v>130</v>
      </c>
      <c r="K212" s="69">
        <f t="shared" si="34"/>
        <v>1491.6631740339385</v>
      </c>
      <c r="L212" s="69">
        <f>I212*Annahmen!$B$7</f>
        <v>8.0320324755673607</v>
      </c>
      <c r="M212" s="69">
        <f>I212*(1-Annahmen!$B$7)</f>
        <v>3.4422996323860122</v>
      </c>
      <c r="N212" s="69">
        <f>Annahmen!$B$8</f>
        <v>78</v>
      </c>
      <c r="O212" s="72">
        <f>INDEX(Quelle_SMARD_Preise_2025!$C$11:$C$375, MATCH($A212,Quelle_SMARD_Preise_2025!$A$11:$A$375, 0))</f>
        <v>75.95</v>
      </c>
      <c r="P212" s="69">
        <f t="shared" si="35"/>
        <v>626.49853309425419</v>
      </c>
      <c r="Q212" s="69">
        <f t="shared" si="36"/>
        <v>261.44265707971766</v>
      </c>
      <c r="R212" s="73">
        <f>Annahmen!$B$9</f>
        <v>0.05</v>
      </c>
      <c r="S212" s="69">
        <f t="shared" si="37"/>
        <v>0.57371660539766867</v>
      </c>
      <c r="T212" s="69">
        <f t="shared" si="38"/>
        <v>0</v>
      </c>
      <c r="U212" s="74">
        <f>$O212+Annahmen!$B$10+(T212*Annahmen!$B$11)</f>
        <v>83.95</v>
      </c>
      <c r="V212" s="74">
        <f t="shared" si="31"/>
        <v>48.163509023134289</v>
      </c>
      <c r="W212" s="74">
        <f t="shared" si="39"/>
        <v>555.55847483683237</v>
      </c>
    </row>
    <row r="213" spans="1:23" x14ac:dyDescent="0.35">
      <c r="A213" s="70">
        <v>45869</v>
      </c>
      <c r="B213" s="71" t="str">
        <f t="shared" si="32"/>
        <v>Do</v>
      </c>
      <c r="C213" s="69">
        <f t="shared" si="33"/>
        <v>7</v>
      </c>
      <c r="D213" s="69">
        <v>212</v>
      </c>
      <c r="E213" s="69" t="str">
        <f>IF(OR(COUNTIF(Feiertage_Hessen_2025!$C$4:$C$13,A213)&gt;0,WEEKDAY(A213,2)=7),"FT",IF(WEEKDAY(A213,2)=6,"SA","WT"))</f>
        <v>WT</v>
      </c>
      <c r="F213" s="69">
        <f>INDEX('BDEW-H25 Tagessummen'!$C$4:$C$39, MATCH(C213&amp;"_"&amp;E213, 'BDEW-H25 Tagessummen'!$D$4:$D$39, 0))</f>
        <v>2915.4739999999988</v>
      </c>
      <c r="G213" s="69">
        <f t="shared" si="30"/>
        <v>0.78730661068799979</v>
      </c>
      <c r="H213" s="69">
        <f>Tabelle1[[#This Row],[Profilwert (kWh)]]*Tabelle1[[#This Row],[Dynamisierungsfaktor]]</f>
        <v>2295.3719534889847</v>
      </c>
      <c r="I213" s="69">
        <f>Annahmen!$B$5*(H213/SUM($H$2:$H$366))</f>
        <v>11.481823910502262</v>
      </c>
      <c r="J213" s="69">
        <f>Annahmen!$B$6</f>
        <v>130</v>
      </c>
      <c r="K213" s="69">
        <f t="shared" si="34"/>
        <v>1492.6371083652941</v>
      </c>
      <c r="L213" s="69">
        <f>I213*Annahmen!$B$7</f>
        <v>8.0372767373515828</v>
      </c>
      <c r="M213" s="69">
        <f>I213*(1-Annahmen!$B$7)</f>
        <v>3.4445471731506792</v>
      </c>
      <c r="N213" s="69">
        <f>Annahmen!$B$8</f>
        <v>78</v>
      </c>
      <c r="O213" s="72">
        <f>INDEX(Quelle_SMARD_Preise_2025!$C$11:$C$375, MATCH($A213,Quelle_SMARD_Preise_2025!$A$11:$A$375, 0))</f>
        <v>85.52</v>
      </c>
      <c r="P213" s="69">
        <f t="shared" si="35"/>
        <v>626.90758551342344</v>
      </c>
      <c r="Q213" s="69">
        <f t="shared" si="36"/>
        <v>294.57767424784606</v>
      </c>
      <c r="R213" s="73">
        <f>Annahmen!$B$9</f>
        <v>0.05</v>
      </c>
      <c r="S213" s="69">
        <f t="shared" si="37"/>
        <v>0.57409119552511312</v>
      </c>
      <c r="T213" s="69">
        <f t="shared" si="38"/>
        <v>0</v>
      </c>
      <c r="U213" s="74">
        <f>$O213+Annahmen!$B$10+(T213*Annahmen!$B$11)</f>
        <v>93.52</v>
      </c>
      <c r="V213" s="74">
        <f t="shared" si="31"/>
        <v>53.689008605508576</v>
      </c>
      <c r="W213" s="74">
        <f t="shared" si="39"/>
        <v>517.46283999851607</v>
      </c>
    </row>
    <row r="214" spans="1:23" x14ac:dyDescent="0.35">
      <c r="A214" s="70">
        <v>45870</v>
      </c>
      <c r="B214" s="71" t="str">
        <f t="shared" si="32"/>
        <v>Fr</v>
      </c>
      <c r="C214" s="69">
        <f t="shared" si="33"/>
        <v>8</v>
      </c>
      <c r="D214" s="69">
        <v>213</v>
      </c>
      <c r="E214" s="69" t="str">
        <f>IF(OR(COUNTIF(Feiertage_Hessen_2025!$C$4:$C$13,A214)&gt;0,WEEKDAY(A214,2)=7),"FT",IF(WEEKDAY(A214,2)=6,"SA","WT"))</f>
        <v>WT</v>
      </c>
      <c r="F214" s="69">
        <f>INDEX('BDEW-H25 Tagessummen'!$C$4:$C$39, MATCH(C214&amp;"_"&amp;E214, 'BDEW-H25 Tagessummen'!$D$4:$D$39, 0))</f>
        <v>2820.5209999999993</v>
      </c>
      <c r="G214" s="69">
        <f t="shared" si="30"/>
        <v>0.78787554488800016</v>
      </c>
      <c r="H214" s="69">
        <f>Tabelle1[[#This Row],[Profilwert (kWh)]]*Tabelle1[[#This Row],[Dynamisierungsfaktor]]</f>
        <v>2222.2195197430465</v>
      </c>
      <c r="I214" s="69">
        <f>Annahmen!$B$5*(H214/SUM($H$2:$H$366))</f>
        <v>11.115903536848288</v>
      </c>
      <c r="J214" s="69">
        <f>Annahmen!$B$6</f>
        <v>130</v>
      </c>
      <c r="K214" s="69">
        <f t="shared" si="34"/>
        <v>1445.0674597902773</v>
      </c>
      <c r="L214" s="69">
        <f>I214*Annahmen!$B$7</f>
        <v>7.7811324757938012</v>
      </c>
      <c r="M214" s="69">
        <f>I214*(1-Annahmen!$B$7)</f>
        <v>3.3347710610544867</v>
      </c>
      <c r="N214" s="69">
        <f>Annahmen!$B$8</f>
        <v>78</v>
      </c>
      <c r="O214" s="72">
        <f>INDEX(Quelle_SMARD_Preise_2025!$C$11:$C$375, MATCH($A214,Quelle_SMARD_Preise_2025!$A$11:$A$375, 0))</f>
        <v>93.19</v>
      </c>
      <c r="P214" s="69">
        <f t="shared" si="35"/>
        <v>606.92833311191646</v>
      </c>
      <c r="Q214" s="69">
        <f t="shared" si="36"/>
        <v>310.76731517966761</v>
      </c>
      <c r="R214" s="73">
        <f>Annahmen!$B$9</f>
        <v>0.05</v>
      </c>
      <c r="S214" s="69">
        <f t="shared" si="37"/>
        <v>0.55579517684241442</v>
      </c>
      <c r="T214" s="69">
        <f t="shared" si="38"/>
        <v>1</v>
      </c>
      <c r="U214" s="74">
        <f>$O214+Annahmen!$B$10+(T214*Annahmen!$B$11)</f>
        <v>221.19</v>
      </c>
      <c r="V214" s="74">
        <f t="shared" si="31"/>
        <v>122.93633516577364</v>
      </c>
      <c r="W214" s="74">
        <f t="shared" si="39"/>
        <v>404.43547633291956</v>
      </c>
    </row>
    <row r="215" spans="1:23" x14ac:dyDescent="0.35">
      <c r="A215" s="70">
        <v>45871</v>
      </c>
      <c r="B215" s="71" t="str">
        <f t="shared" si="32"/>
        <v>Sa</v>
      </c>
      <c r="C215" s="69">
        <f t="shared" si="33"/>
        <v>8</v>
      </c>
      <c r="D215" s="69">
        <v>214</v>
      </c>
      <c r="E215" s="69" t="str">
        <f>IF(OR(COUNTIF(Feiertage_Hessen_2025!$C$4:$C$13,A215)&gt;0,WEEKDAY(A215,2)=7),"FT",IF(WEEKDAY(A215,2)=6,"SA","WT"))</f>
        <v>SA</v>
      </c>
      <c r="F215" s="69">
        <f>INDEX('BDEW-H25 Tagessummen'!$C$4:$C$39, MATCH(C215&amp;"_"&amp;E215, 'BDEW-H25 Tagessummen'!$D$4:$D$39, 0))</f>
        <v>3170.1549999999993</v>
      </c>
      <c r="G215" s="69">
        <f t="shared" si="30"/>
        <v>0.7884996225280001</v>
      </c>
      <c r="H215" s="69">
        <f>Tabelle1[[#This Row],[Profilwert (kWh)]]*Tabelle1[[#This Row],[Dynamisierungsfaktor]]</f>
        <v>2499.6660208552516</v>
      </c>
      <c r="I215" s="69">
        <f>Annahmen!$B$5*(H215/SUM($H$2:$H$366))</f>
        <v>12.503736068962825</v>
      </c>
      <c r="J215" s="69">
        <f>Annahmen!$B$6</f>
        <v>130</v>
      </c>
      <c r="K215" s="69">
        <f t="shared" si="34"/>
        <v>1625.4856889651671</v>
      </c>
      <c r="L215" s="69">
        <f>I215*Annahmen!$B$7</f>
        <v>8.7526152482739761</v>
      </c>
      <c r="M215" s="69">
        <f>I215*(1-Annahmen!$B$7)</f>
        <v>3.7511208206888478</v>
      </c>
      <c r="N215" s="69">
        <f>Annahmen!$B$8</f>
        <v>78</v>
      </c>
      <c r="O215" s="72">
        <f>INDEX(Quelle_SMARD_Preise_2025!$C$11:$C$375, MATCH($A215,Quelle_SMARD_Preise_2025!$A$11:$A$375, 0))</f>
        <v>67.150000000000006</v>
      </c>
      <c r="P215" s="69">
        <f t="shared" si="35"/>
        <v>682.70398936537015</v>
      </c>
      <c r="Q215" s="69">
        <f t="shared" si="36"/>
        <v>251.88776310925616</v>
      </c>
      <c r="R215" s="73">
        <f>Annahmen!$B$9</f>
        <v>0.05</v>
      </c>
      <c r="S215" s="69">
        <f t="shared" si="37"/>
        <v>0.62518680344814126</v>
      </c>
      <c r="T215" s="69">
        <f t="shared" si="38"/>
        <v>0</v>
      </c>
      <c r="U215" s="74">
        <f>$O215+Annahmen!$B$10+(T215*Annahmen!$B$11)</f>
        <v>75.150000000000006</v>
      </c>
      <c r="V215" s="74">
        <f t="shared" si="31"/>
        <v>46.982788279127817</v>
      </c>
      <c r="W215" s="74">
        <f t="shared" si="39"/>
        <v>643.91114821141298</v>
      </c>
    </row>
    <row r="216" spans="1:23" x14ac:dyDescent="0.35">
      <c r="A216" s="70">
        <v>45872</v>
      </c>
      <c r="B216" s="71" t="str">
        <f t="shared" si="32"/>
        <v>So</v>
      </c>
      <c r="C216" s="69">
        <f t="shared" si="33"/>
        <v>8</v>
      </c>
      <c r="D216" s="69">
        <v>215</v>
      </c>
      <c r="E216" s="69" t="str">
        <f>IF(OR(COUNTIF(Feiertage_Hessen_2025!$C$4:$C$13,A216)&gt;0,WEEKDAY(A216,2)=7),"FT",IF(WEEKDAY(A216,2)=6,"SA","WT"))</f>
        <v>FT</v>
      </c>
      <c r="F216" s="69">
        <f>INDEX('BDEW-H25 Tagessummen'!$C$4:$C$39, MATCH(C216&amp;"_"&amp;E216, 'BDEW-H25 Tagessummen'!$D$4:$D$39, 0))</f>
        <v>3254.2179999999998</v>
      </c>
      <c r="G216" s="69">
        <f t="shared" si="30"/>
        <v>0.78917875500000045</v>
      </c>
      <c r="H216" s="69">
        <f>Tabelle1[[#This Row],[Profilwert (kWh)]]*Tabelle1[[#This Row],[Dynamisierungsfaktor]]</f>
        <v>2568.1597097385916</v>
      </c>
      <c r="I216" s="69">
        <f>Annahmen!$B$5*(H216/SUM($H$2:$H$366))</f>
        <v>12.846352642953741</v>
      </c>
      <c r="J216" s="69">
        <f>Annahmen!$B$6</f>
        <v>130</v>
      </c>
      <c r="K216" s="69">
        <f t="shared" si="34"/>
        <v>1670.0258435839864</v>
      </c>
      <c r="L216" s="69">
        <f>I216*Annahmen!$B$7</f>
        <v>8.9924468500676191</v>
      </c>
      <c r="M216" s="69">
        <f>I216*(1-Annahmen!$B$7)</f>
        <v>3.8539057928861231</v>
      </c>
      <c r="N216" s="69">
        <f>Annahmen!$B$8</f>
        <v>78</v>
      </c>
      <c r="O216" s="72">
        <f>INDEX(Quelle_SMARD_Preise_2025!$C$11:$C$375, MATCH($A216,Quelle_SMARD_Preise_2025!$A$11:$A$375, 0))</f>
        <v>42.25</v>
      </c>
      <c r="P216" s="69">
        <f t="shared" si="35"/>
        <v>701.41085430527426</v>
      </c>
      <c r="Q216" s="69">
        <f t="shared" si="36"/>
        <v>162.82751974943869</v>
      </c>
      <c r="R216" s="73">
        <f>Annahmen!$B$9</f>
        <v>0.05</v>
      </c>
      <c r="S216" s="69">
        <f t="shared" si="37"/>
        <v>0.64231763214768711</v>
      </c>
      <c r="T216" s="69">
        <f t="shared" si="38"/>
        <v>0</v>
      </c>
      <c r="U216" s="74">
        <f>$O216+Annahmen!$B$10+(T216*Annahmen!$B$11)</f>
        <v>50.25</v>
      </c>
      <c r="V216" s="74">
        <f t="shared" si="31"/>
        <v>32.276461015421276</v>
      </c>
      <c r="W216" s="74">
        <f t="shared" si="39"/>
        <v>773.51100851385218</v>
      </c>
    </row>
    <row r="217" spans="1:23" x14ac:dyDescent="0.35">
      <c r="A217" s="70">
        <v>45873</v>
      </c>
      <c r="B217" s="71" t="str">
        <f t="shared" si="32"/>
        <v>Mo</v>
      </c>
      <c r="C217" s="69">
        <f t="shared" si="33"/>
        <v>8</v>
      </c>
      <c r="D217" s="69">
        <v>216</v>
      </c>
      <c r="E217" s="69" t="str">
        <f>IF(OR(COUNTIF(Feiertage_Hessen_2025!$C$4:$C$13,A217)&gt;0,WEEKDAY(A217,2)=7),"FT",IF(WEEKDAY(A217,2)=6,"SA","WT"))</f>
        <v>WT</v>
      </c>
      <c r="F217" s="69">
        <f>INDEX('BDEW-H25 Tagessummen'!$C$4:$C$39, MATCH(C217&amp;"_"&amp;E217, 'BDEW-H25 Tagessummen'!$D$4:$D$39, 0))</f>
        <v>2820.5209999999993</v>
      </c>
      <c r="G217" s="69">
        <f t="shared" si="30"/>
        <v>0.78991284428800013</v>
      </c>
      <c r="H217" s="69">
        <f>Tabelle1[[#This Row],[Profilwert (kWh)]]*Tabelle1[[#This Row],[Dynamisierungsfaktor]]</f>
        <v>2227.9657654840339</v>
      </c>
      <c r="I217" s="69">
        <f>Annahmen!$B$5*(H217/SUM($H$2:$H$366))</f>
        <v>11.144647192814025</v>
      </c>
      <c r="J217" s="69">
        <f>Annahmen!$B$6</f>
        <v>130</v>
      </c>
      <c r="K217" s="69">
        <f t="shared" si="34"/>
        <v>1448.8041350658232</v>
      </c>
      <c r="L217" s="69">
        <f>I217*Annahmen!$B$7</f>
        <v>7.8012530349698173</v>
      </c>
      <c r="M217" s="69">
        <f>I217*(1-Annahmen!$B$7)</f>
        <v>3.3433941578442079</v>
      </c>
      <c r="N217" s="69">
        <f>Annahmen!$B$8</f>
        <v>78</v>
      </c>
      <c r="O217" s="72">
        <f>INDEX(Quelle_SMARD_Preise_2025!$C$11:$C$375, MATCH($A217,Quelle_SMARD_Preise_2025!$A$11:$A$375, 0))</f>
        <v>63.46</v>
      </c>
      <c r="P217" s="69">
        <f t="shared" si="35"/>
        <v>608.4977367276457</v>
      </c>
      <c r="Q217" s="69">
        <f t="shared" si="36"/>
        <v>212.17179325679345</v>
      </c>
      <c r="R217" s="73">
        <f>Annahmen!$B$9</f>
        <v>0.05</v>
      </c>
      <c r="S217" s="69">
        <f t="shared" si="37"/>
        <v>0.55723235964070128</v>
      </c>
      <c r="T217" s="69">
        <f t="shared" si="38"/>
        <v>1</v>
      </c>
      <c r="U217" s="74">
        <f>$O217+Annahmen!$B$10+(T217*Annahmen!$B$11)</f>
        <v>191.46</v>
      </c>
      <c r="V217" s="74">
        <f t="shared" si="31"/>
        <v>106.68770757680868</v>
      </c>
      <c r="W217" s="74">
        <f t="shared" si="39"/>
        <v>521.44689750457542</v>
      </c>
    </row>
    <row r="218" spans="1:23" x14ac:dyDescent="0.35">
      <c r="A218" s="70">
        <v>45874</v>
      </c>
      <c r="B218" s="71" t="str">
        <f t="shared" si="32"/>
        <v>Di</v>
      </c>
      <c r="C218" s="69">
        <f t="shared" si="33"/>
        <v>8</v>
      </c>
      <c r="D218" s="69">
        <v>217</v>
      </c>
      <c r="E218" s="69" t="str">
        <f>IF(OR(COUNTIF(Feiertage_Hessen_2025!$C$4:$C$13,A218)&gt;0,WEEKDAY(A218,2)=7),"FT",IF(WEEKDAY(A218,2)=6,"SA","WT"))</f>
        <v>WT</v>
      </c>
      <c r="F218" s="69">
        <f>INDEX('BDEW-H25 Tagessummen'!$C$4:$C$39, MATCH(C218&amp;"_"&amp;E218, 'BDEW-H25 Tagessummen'!$D$4:$D$39, 0))</f>
        <v>2820.5209999999993</v>
      </c>
      <c r="G218" s="69">
        <f t="shared" si="30"/>
        <v>0.79070178296799964</v>
      </c>
      <c r="H218" s="69">
        <f>Tabelle1[[#This Row],[Profilwert (kWh)]]*Tabelle1[[#This Row],[Dynamisierungsfaktor]]</f>
        <v>2230.1909835986849</v>
      </c>
      <c r="I218" s="69">
        <f>Annahmen!$B$5*(H218/SUM($H$2:$H$366))</f>
        <v>11.155778095810398</v>
      </c>
      <c r="J218" s="69">
        <f>Annahmen!$B$6</f>
        <v>130</v>
      </c>
      <c r="K218" s="69">
        <f t="shared" si="34"/>
        <v>1450.2511524553518</v>
      </c>
      <c r="L218" s="69">
        <f>I218*Annahmen!$B$7</f>
        <v>7.809044667067278</v>
      </c>
      <c r="M218" s="69">
        <f>I218*(1-Annahmen!$B$7)</f>
        <v>3.3467334287431196</v>
      </c>
      <c r="N218" s="69">
        <f>Annahmen!$B$8</f>
        <v>78</v>
      </c>
      <c r="O218" s="72">
        <f>INDEX(Quelle_SMARD_Preise_2025!$C$11:$C$375, MATCH($A218,Quelle_SMARD_Preise_2025!$A$11:$A$375, 0))</f>
        <v>36.049999999999997</v>
      </c>
      <c r="P218" s="69">
        <f t="shared" si="35"/>
        <v>609.10548403124767</v>
      </c>
      <c r="Q218" s="69">
        <f t="shared" si="36"/>
        <v>120.64974010618945</v>
      </c>
      <c r="R218" s="73">
        <f>Annahmen!$B$9</f>
        <v>0.05</v>
      </c>
      <c r="S218" s="69">
        <f t="shared" si="37"/>
        <v>0.5577889047905199</v>
      </c>
      <c r="T218" s="69">
        <f t="shared" si="38"/>
        <v>1</v>
      </c>
      <c r="U218" s="74">
        <f>$O218+Annahmen!$B$10+(T218*Annahmen!$B$11)</f>
        <v>164.05</v>
      </c>
      <c r="V218" s="74">
        <f t="shared" si="31"/>
        <v>91.505269830884799</v>
      </c>
      <c r="W218" s="74">
        <f t="shared" si="39"/>
        <v>628.9906584870298</v>
      </c>
    </row>
    <row r="219" spans="1:23" x14ac:dyDescent="0.35">
      <c r="A219" s="70">
        <v>45875</v>
      </c>
      <c r="B219" s="71" t="str">
        <f t="shared" si="32"/>
        <v>Mi</v>
      </c>
      <c r="C219" s="69">
        <f t="shared" si="33"/>
        <v>8</v>
      </c>
      <c r="D219" s="69">
        <v>218</v>
      </c>
      <c r="E219" s="69" t="str">
        <f>IF(OR(COUNTIF(Feiertage_Hessen_2025!$C$4:$C$13,A219)&gt;0,WEEKDAY(A219,2)=7),"FT",IF(WEEKDAY(A219,2)=6,"SA","WT"))</f>
        <v>WT</v>
      </c>
      <c r="F219" s="69">
        <f>INDEX('BDEW-H25 Tagessummen'!$C$4:$C$39, MATCH(C219&amp;"_"&amp;E219, 'BDEW-H25 Tagessummen'!$D$4:$D$39, 0))</f>
        <v>2820.5209999999993</v>
      </c>
      <c r="G219" s="69">
        <f t="shared" si="30"/>
        <v>0.79154545420800027</v>
      </c>
      <c r="H219" s="69">
        <f>Tabelle1[[#This Row],[Profilwert (kWh)]]*Tabelle1[[#This Row],[Dynamisierungsfaktor]]</f>
        <v>2232.5705760482024</v>
      </c>
      <c r="I219" s="69">
        <f>Annahmen!$B$5*(H219/SUM($H$2:$H$366))</f>
        <v>11.167681204342587</v>
      </c>
      <c r="J219" s="69">
        <f>Annahmen!$B$6</f>
        <v>130</v>
      </c>
      <c r="K219" s="69">
        <f t="shared" si="34"/>
        <v>1451.7985565645363</v>
      </c>
      <c r="L219" s="69">
        <f>I219*Annahmen!$B$7</f>
        <v>7.8173768430398107</v>
      </c>
      <c r="M219" s="69">
        <f>I219*(1-Annahmen!$B$7)</f>
        <v>3.3503043613027765</v>
      </c>
      <c r="N219" s="69">
        <f>Annahmen!$B$8</f>
        <v>78</v>
      </c>
      <c r="O219" s="72">
        <f>INDEX(Quelle_SMARD_Preise_2025!$C$11:$C$375, MATCH($A219,Quelle_SMARD_Preise_2025!$A$11:$A$375, 0))</f>
        <v>61.94</v>
      </c>
      <c r="P219" s="69">
        <f t="shared" si="35"/>
        <v>609.75539375710525</v>
      </c>
      <c r="Q219" s="69">
        <f t="shared" si="36"/>
        <v>207.51785213909397</v>
      </c>
      <c r="R219" s="73">
        <f>Annahmen!$B$9</f>
        <v>0.05</v>
      </c>
      <c r="S219" s="69">
        <f t="shared" si="37"/>
        <v>0.55838406021712939</v>
      </c>
      <c r="T219" s="69">
        <f t="shared" si="38"/>
        <v>1</v>
      </c>
      <c r="U219" s="74">
        <f>$O219+Annahmen!$B$10+(T219*Annahmen!$B$11)</f>
        <v>189.94</v>
      </c>
      <c r="V219" s="74">
        <f t="shared" si="31"/>
        <v>106.05946839764155</v>
      </c>
      <c r="W219" s="74">
        <f t="shared" si="39"/>
        <v>528.46584227069548</v>
      </c>
    </row>
    <row r="220" spans="1:23" x14ac:dyDescent="0.35">
      <c r="A220" s="70">
        <v>45876</v>
      </c>
      <c r="B220" s="71" t="str">
        <f t="shared" si="32"/>
        <v>Do</v>
      </c>
      <c r="C220" s="69">
        <f t="shared" si="33"/>
        <v>8</v>
      </c>
      <c r="D220" s="69">
        <v>219</v>
      </c>
      <c r="E220" s="69" t="str">
        <f>IF(OR(COUNTIF(Feiertage_Hessen_2025!$C$4:$C$13,A220)&gt;0,WEEKDAY(A220,2)=7),"FT",IF(WEEKDAY(A220,2)=6,"SA","WT"))</f>
        <v>WT</v>
      </c>
      <c r="F220" s="69">
        <f>INDEX('BDEW-H25 Tagessummen'!$C$4:$C$39, MATCH(C220&amp;"_"&amp;E220, 'BDEW-H25 Tagessummen'!$D$4:$D$39, 0))</f>
        <v>2820.5209999999993</v>
      </c>
      <c r="G220" s="69">
        <f t="shared" si="30"/>
        <v>0.79244373176800009</v>
      </c>
      <c r="H220" s="69">
        <f>Tabelle1[[#This Row],[Profilwert (kWh)]]*Tabelle1[[#This Row],[Dynamisierungsfaktor]]</f>
        <v>2235.104186770011</v>
      </c>
      <c r="I220" s="69">
        <f>Annahmen!$B$5*(H220/SUM($H$2:$H$366))</f>
        <v>11.180354737327667</v>
      </c>
      <c r="J220" s="69">
        <f>Annahmen!$B$6</f>
        <v>130</v>
      </c>
      <c r="K220" s="69">
        <f t="shared" si="34"/>
        <v>1453.4461158525967</v>
      </c>
      <c r="L220" s="69">
        <f>I220*Annahmen!$B$7</f>
        <v>7.8262483161293659</v>
      </c>
      <c r="M220" s="69">
        <f>I220*(1-Annahmen!$B$7)</f>
        <v>3.3541064211983005</v>
      </c>
      <c r="N220" s="69">
        <f>Annahmen!$B$8</f>
        <v>78</v>
      </c>
      <c r="O220" s="72">
        <f>INDEX(Quelle_SMARD_Preise_2025!$C$11:$C$375, MATCH($A220,Quelle_SMARD_Preise_2025!$A$11:$A$375, 0))</f>
        <v>71.790000000000006</v>
      </c>
      <c r="P220" s="69">
        <f t="shared" si="35"/>
        <v>610.44736865809057</v>
      </c>
      <c r="Q220" s="69">
        <f t="shared" si="36"/>
        <v>240.79129997782601</v>
      </c>
      <c r="R220" s="73">
        <f>Annahmen!$B$9</f>
        <v>0.05</v>
      </c>
      <c r="S220" s="69">
        <f t="shared" si="37"/>
        <v>0.55901773686638334</v>
      </c>
      <c r="T220" s="69">
        <f t="shared" si="38"/>
        <v>1</v>
      </c>
      <c r="U220" s="74">
        <f>$O220+Annahmen!$B$10+(T220*Annahmen!$B$11)</f>
        <v>199.79000000000002</v>
      </c>
      <c r="V220" s="74">
        <f t="shared" si="31"/>
        <v>111.68615364853474</v>
      </c>
      <c r="W220" s="74">
        <f t="shared" si="39"/>
        <v>490.52129356814532</v>
      </c>
    </row>
    <row r="221" spans="1:23" x14ac:dyDescent="0.35">
      <c r="A221" s="70">
        <v>45877</v>
      </c>
      <c r="B221" s="71" t="str">
        <f t="shared" si="32"/>
        <v>Fr</v>
      </c>
      <c r="C221" s="69">
        <f t="shared" si="33"/>
        <v>8</v>
      </c>
      <c r="D221" s="69">
        <v>220</v>
      </c>
      <c r="E221" s="69" t="str">
        <f>IF(OR(COUNTIF(Feiertage_Hessen_2025!$C$4:$C$13,A221)&gt;0,WEEKDAY(A221,2)=7),"FT",IF(WEEKDAY(A221,2)=6,"SA","WT"))</f>
        <v>WT</v>
      </c>
      <c r="F221" s="69">
        <f>INDEX('BDEW-H25 Tagessummen'!$C$4:$C$39, MATCH(C221&amp;"_"&amp;E221, 'BDEW-H25 Tagessummen'!$D$4:$D$39, 0))</f>
        <v>2820.5209999999993</v>
      </c>
      <c r="G221" s="69">
        <f t="shared" si="30"/>
        <v>0.79339648000000029</v>
      </c>
      <c r="H221" s="69">
        <f>Tabelle1[[#This Row],[Profilwert (kWh)]]*Tabelle1[[#This Row],[Dynamisierungsfaktor]]</f>
        <v>2237.7914331660804</v>
      </c>
      <c r="I221" s="69">
        <f>Annahmen!$B$5*(H221/SUM($H$2:$H$366))</f>
        <v>11.193796780948048</v>
      </c>
      <c r="J221" s="69">
        <f>Annahmen!$B$6</f>
        <v>130</v>
      </c>
      <c r="K221" s="69">
        <f t="shared" si="34"/>
        <v>1455.1935815232464</v>
      </c>
      <c r="L221" s="69">
        <f>I221*Annahmen!$B$7</f>
        <v>7.8356577466636335</v>
      </c>
      <c r="M221" s="69">
        <f>I221*(1-Annahmen!$B$7)</f>
        <v>3.3581390342844148</v>
      </c>
      <c r="N221" s="69">
        <f>Annahmen!$B$8</f>
        <v>78</v>
      </c>
      <c r="O221" s="72">
        <f>INDEX(Quelle_SMARD_Preise_2025!$C$11:$C$375, MATCH($A221,Quelle_SMARD_Preise_2025!$A$11:$A$375, 0))</f>
        <v>76.16</v>
      </c>
      <c r="P221" s="69">
        <f t="shared" si="35"/>
        <v>611.18130423976345</v>
      </c>
      <c r="Q221" s="69">
        <f t="shared" si="36"/>
        <v>255.75586885110101</v>
      </c>
      <c r="R221" s="73">
        <f>Annahmen!$B$9</f>
        <v>0.05</v>
      </c>
      <c r="S221" s="69">
        <f t="shared" si="37"/>
        <v>0.55968983904740244</v>
      </c>
      <c r="T221" s="69">
        <f t="shared" si="38"/>
        <v>1</v>
      </c>
      <c r="U221" s="74">
        <f>$O221+Annahmen!$B$10+(T221*Annahmen!$B$11)</f>
        <v>204.16</v>
      </c>
      <c r="V221" s="74">
        <f t="shared" si="31"/>
        <v>114.26627753991768</v>
      </c>
      <c r="W221" s="74">
        <f t="shared" si="39"/>
        <v>473.99013089246426</v>
      </c>
    </row>
    <row r="222" spans="1:23" x14ac:dyDescent="0.35">
      <c r="A222" s="70">
        <v>45878</v>
      </c>
      <c r="B222" s="71" t="str">
        <f t="shared" si="32"/>
        <v>Sa</v>
      </c>
      <c r="C222" s="69">
        <f t="shared" si="33"/>
        <v>8</v>
      </c>
      <c r="D222" s="69">
        <v>221</v>
      </c>
      <c r="E222" s="69" t="str">
        <f>IF(OR(COUNTIF(Feiertage_Hessen_2025!$C$4:$C$13,A222)&gt;0,WEEKDAY(A222,2)=7),"FT",IF(WEEKDAY(A222,2)=6,"SA","WT"))</f>
        <v>SA</v>
      </c>
      <c r="F222" s="69">
        <f>INDEX('BDEW-H25 Tagessummen'!$C$4:$C$39, MATCH(C222&amp;"_"&amp;E222, 'BDEW-H25 Tagessummen'!$D$4:$D$39, 0))</f>
        <v>3170.1549999999993</v>
      </c>
      <c r="G222" s="69">
        <f t="shared" si="30"/>
        <v>0.79440355384799999</v>
      </c>
      <c r="H222" s="69">
        <f>Tabelle1[[#This Row],[Profilwert (kWh)]]*Tabelle1[[#This Row],[Dynamisierungsfaktor]]</f>
        <v>2518.3823982490057</v>
      </c>
      <c r="I222" s="69">
        <f>Annahmen!$B$5*(H222/SUM($H$2:$H$366))</f>
        <v>12.597358433369143</v>
      </c>
      <c r="J222" s="69">
        <f>Annahmen!$B$6</f>
        <v>130</v>
      </c>
      <c r="K222" s="69">
        <f t="shared" si="34"/>
        <v>1637.6565963379885</v>
      </c>
      <c r="L222" s="69">
        <f>I222*Annahmen!$B$7</f>
        <v>8.8181509033583989</v>
      </c>
      <c r="M222" s="69">
        <f>I222*(1-Annahmen!$B$7)</f>
        <v>3.7792075300107433</v>
      </c>
      <c r="N222" s="69">
        <f>Annahmen!$B$8</f>
        <v>78</v>
      </c>
      <c r="O222" s="72">
        <f>INDEX(Quelle_SMARD_Preise_2025!$C$11:$C$375, MATCH($A222,Quelle_SMARD_Preise_2025!$A$11:$A$375, 0))</f>
        <v>61.42</v>
      </c>
      <c r="P222" s="69">
        <f t="shared" si="35"/>
        <v>687.81577046195514</v>
      </c>
      <c r="Q222" s="69">
        <f t="shared" si="36"/>
        <v>232.11892649325986</v>
      </c>
      <c r="R222" s="73">
        <f>Annahmen!$B$9</f>
        <v>0.05</v>
      </c>
      <c r="S222" s="69">
        <f t="shared" si="37"/>
        <v>0.62986792166845718</v>
      </c>
      <c r="T222" s="69">
        <f t="shared" si="38"/>
        <v>0</v>
      </c>
      <c r="U222" s="74">
        <f>$O222+Annahmen!$B$10+(T222*Annahmen!$B$11)</f>
        <v>69.42</v>
      </c>
      <c r="V222" s="74">
        <f t="shared" si="31"/>
        <v>43.7254311222243</v>
      </c>
      <c r="W222" s="74">
        <f t="shared" si="39"/>
        <v>673.99646826054914</v>
      </c>
    </row>
    <row r="223" spans="1:23" x14ac:dyDescent="0.35">
      <c r="A223" s="70">
        <v>45879</v>
      </c>
      <c r="B223" s="71" t="str">
        <f t="shared" si="32"/>
        <v>So</v>
      </c>
      <c r="C223" s="69">
        <f t="shared" si="33"/>
        <v>8</v>
      </c>
      <c r="D223" s="69">
        <v>222</v>
      </c>
      <c r="E223" s="69" t="str">
        <f>IF(OR(COUNTIF(Feiertage_Hessen_2025!$C$4:$C$13,A223)&gt;0,WEEKDAY(A223,2)=7),"FT",IF(WEEKDAY(A223,2)=6,"SA","WT"))</f>
        <v>FT</v>
      </c>
      <c r="F223" s="69">
        <f>INDEX('BDEW-H25 Tagessummen'!$C$4:$C$39, MATCH(C223&amp;"_"&amp;E223, 'BDEW-H25 Tagessummen'!$D$4:$D$39, 0))</f>
        <v>3254.2179999999998</v>
      </c>
      <c r="G223" s="69">
        <f t="shared" si="30"/>
        <v>0.79546479884800025</v>
      </c>
      <c r="H223" s="69">
        <f>Tabelle1[[#This Row],[Profilwert (kWh)]]*Tabelle1[[#This Row],[Dynamisierungsfaktor]]</f>
        <v>2588.6158667775417</v>
      </c>
      <c r="I223" s="69">
        <f>Annahmen!$B$5*(H223/SUM($H$2:$H$366))</f>
        <v>12.94867766816362</v>
      </c>
      <c r="J223" s="69">
        <f>Annahmen!$B$6</f>
        <v>130</v>
      </c>
      <c r="K223" s="69">
        <f t="shared" si="34"/>
        <v>1683.3280968612708</v>
      </c>
      <c r="L223" s="69">
        <f>I223*Annahmen!$B$7</f>
        <v>9.0640743677145341</v>
      </c>
      <c r="M223" s="69">
        <f>I223*(1-Annahmen!$B$7)</f>
        <v>3.8846033004490867</v>
      </c>
      <c r="N223" s="69">
        <f>Annahmen!$B$8</f>
        <v>78</v>
      </c>
      <c r="O223" s="72">
        <f>INDEX(Quelle_SMARD_Preise_2025!$C$11:$C$375, MATCH($A223,Quelle_SMARD_Preise_2025!$A$11:$A$375, 0))</f>
        <v>46.8</v>
      </c>
      <c r="P223" s="69">
        <f t="shared" si="35"/>
        <v>706.99780068173368</v>
      </c>
      <c r="Q223" s="69">
        <f t="shared" si="36"/>
        <v>181.79943446101726</v>
      </c>
      <c r="R223" s="73">
        <f>Annahmen!$B$9</f>
        <v>0.05</v>
      </c>
      <c r="S223" s="69">
        <f t="shared" si="37"/>
        <v>0.64743388340818109</v>
      </c>
      <c r="T223" s="69">
        <f t="shared" si="38"/>
        <v>0</v>
      </c>
      <c r="U223" s="74">
        <f>$O223+Annahmen!$B$10+(T223*Annahmen!$B$11)</f>
        <v>54.8</v>
      </c>
      <c r="V223" s="74">
        <f t="shared" si="31"/>
        <v>35.479376810768322</v>
      </c>
      <c r="W223" s="74">
        <f t="shared" si="39"/>
        <v>759.0514849077515</v>
      </c>
    </row>
    <row r="224" spans="1:23" x14ac:dyDescent="0.35">
      <c r="A224" s="70">
        <v>45880</v>
      </c>
      <c r="B224" s="71" t="str">
        <f t="shared" si="32"/>
        <v>Mo</v>
      </c>
      <c r="C224" s="69">
        <f t="shared" si="33"/>
        <v>8</v>
      </c>
      <c r="D224" s="69">
        <v>223</v>
      </c>
      <c r="E224" s="69" t="str">
        <f>IF(OR(COUNTIF(Feiertage_Hessen_2025!$C$4:$C$13,A224)&gt;0,WEEKDAY(A224,2)=7),"FT",IF(WEEKDAY(A224,2)=6,"SA","WT"))</f>
        <v>WT</v>
      </c>
      <c r="F224" s="69">
        <f>INDEX('BDEW-H25 Tagessummen'!$C$4:$C$39, MATCH(C224&amp;"_"&amp;E224, 'BDEW-H25 Tagessummen'!$D$4:$D$39, 0))</f>
        <v>2820.5209999999993</v>
      </c>
      <c r="G224" s="69">
        <f t="shared" si="30"/>
        <v>0.79658005112800023</v>
      </c>
      <c r="H224" s="69">
        <f>Tabelle1[[#This Row],[Profilwert (kWh)]]*Tabelle1[[#This Row],[Dynamisierungsfaktor]]</f>
        <v>2246.7707623875976</v>
      </c>
      <c r="I224" s="69">
        <f>Annahmen!$B$5*(H224/SUM($H$2:$H$366))</f>
        <v>11.238712846424573</v>
      </c>
      <c r="J224" s="69">
        <f>Annahmen!$B$6</f>
        <v>130</v>
      </c>
      <c r="K224" s="69">
        <f t="shared" si="34"/>
        <v>1461.0326700351945</v>
      </c>
      <c r="L224" s="69">
        <f>I224*Annahmen!$B$7</f>
        <v>7.8670989924972003</v>
      </c>
      <c r="M224" s="69">
        <f>I224*(1-Annahmen!$B$7)</f>
        <v>3.3716138539273723</v>
      </c>
      <c r="N224" s="69">
        <f>Annahmen!$B$8</f>
        <v>78</v>
      </c>
      <c r="O224" s="72">
        <f>INDEX(Quelle_SMARD_Preise_2025!$C$11:$C$375, MATCH($A224,Quelle_SMARD_Preise_2025!$A$11:$A$375, 0))</f>
        <v>84.48</v>
      </c>
      <c r="P224" s="69">
        <f t="shared" si="35"/>
        <v>613.63372141478158</v>
      </c>
      <c r="Q224" s="69">
        <f t="shared" si="36"/>
        <v>284.83393837978446</v>
      </c>
      <c r="R224" s="73">
        <f>Annahmen!$B$9</f>
        <v>0.05</v>
      </c>
      <c r="S224" s="69">
        <f t="shared" si="37"/>
        <v>0.56193564232122861</v>
      </c>
      <c r="T224" s="69">
        <f t="shared" si="38"/>
        <v>1</v>
      </c>
      <c r="U224" s="74">
        <f>$O224+Annahmen!$B$10+(T224*Annahmen!$B$11)</f>
        <v>212.48000000000002</v>
      </c>
      <c r="V224" s="74">
        <f t="shared" si="31"/>
        <v>119.40008528041467</v>
      </c>
      <c r="W224" s="74">
        <f t="shared" si="39"/>
        <v>443.1649249602138</v>
      </c>
    </row>
    <row r="225" spans="1:23" x14ac:dyDescent="0.35">
      <c r="A225" s="70">
        <v>45881</v>
      </c>
      <c r="B225" s="71" t="str">
        <f t="shared" si="32"/>
        <v>Di</v>
      </c>
      <c r="C225" s="69">
        <f t="shared" si="33"/>
        <v>8</v>
      </c>
      <c r="D225" s="69">
        <v>224</v>
      </c>
      <c r="E225" s="69" t="str">
        <f>IF(OR(COUNTIF(Feiertage_Hessen_2025!$C$4:$C$13,A225)&gt;0,WEEKDAY(A225,2)=7),"FT",IF(WEEKDAY(A225,2)=6,"SA","WT"))</f>
        <v>WT</v>
      </c>
      <c r="F225" s="69">
        <f>INDEX('BDEW-H25 Tagessummen'!$C$4:$C$39, MATCH(C225&amp;"_"&amp;E225, 'BDEW-H25 Tagessummen'!$D$4:$D$39, 0))</f>
        <v>2820.5209999999993</v>
      </c>
      <c r="G225" s="69">
        <f t="shared" si="30"/>
        <v>0.79774913740800024</v>
      </c>
      <c r="H225" s="69">
        <f>Tabelle1[[#This Row],[Profilwert (kWh)]]*Tabelle1[[#This Row],[Dynamisierungsfaktor]]</f>
        <v>2250.0681947911498</v>
      </c>
      <c r="I225" s="69">
        <f>Annahmen!$B$5*(H225/SUM($H$2:$H$366))</f>
        <v>11.255207139716266</v>
      </c>
      <c r="J225" s="69">
        <f>Annahmen!$B$6</f>
        <v>130</v>
      </c>
      <c r="K225" s="69">
        <f t="shared" si="34"/>
        <v>1463.1769281631146</v>
      </c>
      <c r="L225" s="69">
        <f>I225*Annahmen!$B$7</f>
        <v>7.8786449978013851</v>
      </c>
      <c r="M225" s="69">
        <f>I225*(1-Annahmen!$B$7)</f>
        <v>3.3765621419148801</v>
      </c>
      <c r="N225" s="69">
        <f>Annahmen!$B$8</f>
        <v>78</v>
      </c>
      <c r="O225" s="72">
        <f>INDEX(Quelle_SMARD_Preise_2025!$C$11:$C$375, MATCH($A225,Quelle_SMARD_Preise_2025!$A$11:$A$375, 0))</f>
        <v>84.95</v>
      </c>
      <c r="P225" s="69">
        <f t="shared" si="35"/>
        <v>614.53430982850807</v>
      </c>
      <c r="Q225" s="69">
        <f t="shared" si="36"/>
        <v>286.83895395566907</v>
      </c>
      <c r="R225" s="73">
        <f>Annahmen!$B$9</f>
        <v>0.05</v>
      </c>
      <c r="S225" s="69">
        <f t="shared" si="37"/>
        <v>0.56276035698581328</v>
      </c>
      <c r="T225" s="69">
        <f t="shared" si="38"/>
        <v>0</v>
      </c>
      <c r="U225" s="74">
        <f>$O225+Annahmen!$B$10+(T225*Annahmen!$B$11)</f>
        <v>92.95</v>
      </c>
      <c r="V225" s="74">
        <f t="shared" si="31"/>
        <v>52.308575181831344</v>
      </c>
      <c r="W225" s="74">
        <f t="shared" si="39"/>
        <v>509.49508919710604</v>
      </c>
    </row>
    <row r="226" spans="1:23" x14ac:dyDescent="0.35">
      <c r="A226" s="70">
        <v>45882</v>
      </c>
      <c r="B226" s="71" t="str">
        <f t="shared" si="32"/>
        <v>Mi</v>
      </c>
      <c r="C226" s="69">
        <f t="shared" si="33"/>
        <v>8</v>
      </c>
      <c r="D226" s="69">
        <v>225</v>
      </c>
      <c r="E226" s="69" t="str">
        <f>IF(OR(COUNTIF(Feiertage_Hessen_2025!$C$4:$C$13,A226)&gt;0,WEEKDAY(A226,2)=7),"FT",IF(WEEKDAY(A226,2)=6,"SA","WT"))</f>
        <v>WT</v>
      </c>
      <c r="F226" s="69">
        <f>INDEX('BDEW-H25 Tagessummen'!$C$4:$C$39, MATCH(C226&amp;"_"&amp;E226, 'BDEW-H25 Tagessummen'!$D$4:$D$39, 0))</f>
        <v>2820.5209999999993</v>
      </c>
      <c r="G226" s="69">
        <f t="shared" si="30"/>
        <v>0.79897187500000011</v>
      </c>
      <c r="H226" s="69">
        <f>Tabelle1[[#This Row],[Profilwert (kWh)]]*Tabelle1[[#This Row],[Dynamisierungsfaktor]]</f>
        <v>2253.5169518468747</v>
      </c>
      <c r="I226" s="69">
        <f>Annahmen!$B$5*(H226/SUM($H$2:$H$366))</f>
        <v>11.272458383534827</v>
      </c>
      <c r="J226" s="69">
        <f>Annahmen!$B$6</f>
        <v>130</v>
      </c>
      <c r="K226" s="69">
        <f t="shared" si="34"/>
        <v>1465.4195898595276</v>
      </c>
      <c r="L226" s="69">
        <f>I226*Annahmen!$B$7</f>
        <v>7.8907208684743786</v>
      </c>
      <c r="M226" s="69">
        <f>I226*(1-Annahmen!$B$7)</f>
        <v>3.3817375150604487</v>
      </c>
      <c r="N226" s="69">
        <f>Annahmen!$B$8</f>
        <v>78</v>
      </c>
      <c r="O226" s="72">
        <f>INDEX(Quelle_SMARD_Preise_2025!$C$11:$C$375, MATCH($A226,Quelle_SMARD_Preise_2025!$A$11:$A$375, 0))</f>
        <v>99.83</v>
      </c>
      <c r="P226" s="69">
        <f t="shared" si="35"/>
        <v>615.47622774100148</v>
      </c>
      <c r="Q226" s="69">
        <f t="shared" si="36"/>
        <v>337.59885612848461</v>
      </c>
      <c r="R226" s="73">
        <f>Annahmen!$B$9</f>
        <v>0.05</v>
      </c>
      <c r="S226" s="69">
        <f t="shared" si="37"/>
        <v>0.56362291917674134</v>
      </c>
      <c r="T226" s="69">
        <f t="shared" si="38"/>
        <v>0</v>
      </c>
      <c r="U226" s="74">
        <f>$O226+Annahmen!$B$10+(T226*Annahmen!$B$11)</f>
        <v>107.83</v>
      </c>
      <c r="V226" s="74">
        <f t="shared" si="31"/>
        <v>60.775459374828017</v>
      </c>
      <c r="W226" s="74">
        <f t="shared" si="39"/>
        <v>451.56904661521349</v>
      </c>
    </row>
    <row r="227" spans="1:23" x14ac:dyDescent="0.35">
      <c r="A227" s="70">
        <v>45883</v>
      </c>
      <c r="B227" s="71" t="str">
        <f t="shared" si="32"/>
        <v>Do</v>
      </c>
      <c r="C227" s="69">
        <f t="shared" si="33"/>
        <v>8</v>
      </c>
      <c r="D227" s="69">
        <v>226</v>
      </c>
      <c r="E227" s="69" t="str">
        <f>IF(OR(COUNTIF(Feiertage_Hessen_2025!$C$4:$C$13,A227)&gt;0,WEEKDAY(A227,2)=7),"FT",IF(WEEKDAY(A227,2)=6,"SA","WT"))</f>
        <v>WT</v>
      </c>
      <c r="F227" s="69">
        <f>INDEX('BDEW-H25 Tagessummen'!$C$4:$C$39, MATCH(C227&amp;"_"&amp;E227, 'BDEW-H25 Tagessummen'!$D$4:$D$39, 0))</f>
        <v>2820.5209999999993</v>
      </c>
      <c r="G227" s="69">
        <f t="shared" si="30"/>
        <v>0.80024807180800051</v>
      </c>
      <c r="H227" s="69">
        <f>Tabelle1[[#This Row],[Profilwert (kWh)]]*Tabelle1[[#This Row],[Dynamisierungsfaktor]]</f>
        <v>2257.1164917439728</v>
      </c>
      <c r="I227" s="69">
        <f>Annahmen!$B$5*(H227/SUM($H$2:$H$366))</f>
        <v>11.290463867654511</v>
      </c>
      <c r="J227" s="69">
        <f>Annahmen!$B$6</f>
        <v>130</v>
      </c>
      <c r="K227" s="69">
        <f t="shared" si="34"/>
        <v>1467.7603027950863</v>
      </c>
      <c r="L227" s="69">
        <f>I227*Annahmen!$B$7</f>
        <v>7.9033247073581574</v>
      </c>
      <c r="M227" s="69">
        <f>I227*(1-Annahmen!$B$7)</f>
        <v>3.3871391602963539</v>
      </c>
      <c r="N227" s="69">
        <f>Annahmen!$B$8</f>
        <v>78</v>
      </c>
      <c r="O227" s="72">
        <f>INDEX(Quelle_SMARD_Preise_2025!$C$11:$C$375, MATCH($A227,Quelle_SMARD_Preise_2025!$A$11:$A$375, 0))</f>
        <v>105.06</v>
      </c>
      <c r="P227" s="69">
        <f t="shared" si="35"/>
        <v>616.45932717393623</v>
      </c>
      <c r="Q227" s="69">
        <f t="shared" si="36"/>
        <v>355.85284018073497</v>
      </c>
      <c r="R227" s="73">
        <f>Annahmen!$B$9</f>
        <v>0.05</v>
      </c>
      <c r="S227" s="69">
        <f t="shared" si="37"/>
        <v>0.56452319338272561</v>
      </c>
      <c r="T227" s="69">
        <f t="shared" si="38"/>
        <v>0</v>
      </c>
      <c r="U227" s="74">
        <f>$O227+Annahmen!$B$10+(T227*Annahmen!$B$11)</f>
        <v>113.06</v>
      </c>
      <c r="V227" s="74">
        <f t="shared" si="31"/>
        <v>63.824992243850957</v>
      </c>
      <c r="W227" s="74">
        <f t="shared" si="39"/>
        <v>431.62314319656417</v>
      </c>
    </row>
    <row r="228" spans="1:23" x14ac:dyDescent="0.35">
      <c r="A228" s="70">
        <v>45884</v>
      </c>
      <c r="B228" s="71" t="str">
        <f t="shared" si="32"/>
        <v>Fr</v>
      </c>
      <c r="C228" s="69">
        <f t="shared" si="33"/>
        <v>8</v>
      </c>
      <c r="D228" s="69">
        <v>227</v>
      </c>
      <c r="E228" s="69" t="str">
        <f>IF(OR(COUNTIF(Feiertage_Hessen_2025!$C$4:$C$13,A228)&gt;0,WEEKDAY(A228,2)=7),"FT",IF(WEEKDAY(A228,2)=6,"SA","WT"))</f>
        <v>WT</v>
      </c>
      <c r="F228" s="69">
        <f>INDEX('BDEW-H25 Tagessummen'!$C$4:$C$39, MATCH(C228&amp;"_"&amp;E228, 'BDEW-H25 Tagessummen'!$D$4:$D$39, 0))</f>
        <v>2820.5209999999993</v>
      </c>
      <c r="G228" s="69">
        <f t="shared" si="30"/>
        <v>0.80157752632800006</v>
      </c>
      <c r="H228" s="69">
        <f>Tabelle1[[#This Row],[Profilwert (kWh)]]*Tabelle1[[#This Row],[Dynamisierungsfaktor]]</f>
        <v>2260.8662461361764</v>
      </c>
      <c r="I228" s="69">
        <f>Annahmen!$B$5*(H228/SUM($H$2:$H$366))</f>
        <v>11.309220749114822</v>
      </c>
      <c r="J228" s="69">
        <f>Annahmen!$B$6</f>
        <v>130</v>
      </c>
      <c r="K228" s="69">
        <f t="shared" si="34"/>
        <v>1470.1986973849268</v>
      </c>
      <c r="L228" s="69">
        <f>I228*Annahmen!$B$7</f>
        <v>7.9164545243803746</v>
      </c>
      <c r="M228" s="69">
        <f>I228*(1-Annahmen!$B$7)</f>
        <v>3.392766224734447</v>
      </c>
      <c r="N228" s="69">
        <f>Annahmen!$B$8</f>
        <v>78</v>
      </c>
      <c r="O228" s="72">
        <f>INDEX(Quelle_SMARD_Preise_2025!$C$11:$C$375, MATCH($A228,Quelle_SMARD_Preise_2025!$A$11:$A$375, 0))</f>
        <v>73.61</v>
      </c>
      <c r="P228" s="69">
        <f t="shared" si="35"/>
        <v>617.48345290166924</v>
      </c>
      <c r="Q228" s="69">
        <f t="shared" si="36"/>
        <v>249.74152180270264</v>
      </c>
      <c r="R228" s="73">
        <f>Annahmen!$B$9</f>
        <v>0.05</v>
      </c>
      <c r="S228" s="69">
        <f t="shared" si="37"/>
        <v>0.56546103745574106</v>
      </c>
      <c r="T228" s="69">
        <f t="shared" si="38"/>
        <v>0</v>
      </c>
      <c r="U228" s="74">
        <f>$O228+Annahmen!$B$10+(T228*Annahmen!$B$11)</f>
        <v>81.61</v>
      </c>
      <c r="V228" s="74">
        <f t="shared" si="31"/>
        <v>46.147275266763025</v>
      </c>
      <c r="W228" s="74">
        <f t="shared" si="39"/>
        <v>556.82644741379193</v>
      </c>
    </row>
    <row r="229" spans="1:23" x14ac:dyDescent="0.35">
      <c r="A229" s="70">
        <v>45885</v>
      </c>
      <c r="B229" s="71" t="str">
        <f t="shared" si="32"/>
        <v>Sa</v>
      </c>
      <c r="C229" s="69">
        <f t="shared" si="33"/>
        <v>8</v>
      </c>
      <c r="D229" s="69">
        <v>228</v>
      </c>
      <c r="E229" s="69" t="str">
        <f>IF(OR(COUNTIF(Feiertage_Hessen_2025!$C$4:$C$13,A229)&gt;0,WEEKDAY(A229,2)=7),"FT",IF(WEEKDAY(A229,2)=6,"SA","WT"))</f>
        <v>SA</v>
      </c>
      <c r="F229" s="69">
        <f>INDEX('BDEW-H25 Tagessummen'!$C$4:$C$39, MATCH(C229&amp;"_"&amp;E229, 'BDEW-H25 Tagessummen'!$D$4:$D$39, 0))</f>
        <v>3170.1549999999993</v>
      </c>
      <c r="G229" s="69">
        <f t="shared" si="30"/>
        <v>0.80296002764800023</v>
      </c>
      <c r="H229" s="69">
        <f>Tabelle1[[#This Row],[Profilwert (kWh)]]*Tabelle1[[#This Row],[Dynamisierungsfaktor]]</f>
        <v>2545.5077464484457</v>
      </c>
      <c r="I229" s="69">
        <f>Annahmen!$B$5*(H229/SUM($H$2:$H$366))</f>
        <v>12.733043837673062</v>
      </c>
      <c r="J229" s="69">
        <f>Annahmen!$B$6</f>
        <v>130</v>
      </c>
      <c r="K229" s="69">
        <f t="shared" si="34"/>
        <v>1655.2956988974981</v>
      </c>
      <c r="L229" s="69">
        <f>I229*Annahmen!$B$7</f>
        <v>8.9131306863711419</v>
      </c>
      <c r="M229" s="69">
        <f>I229*(1-Annahmen!$B$7)</f>
        <v>3.8199131513019191</v>
      </c>
      <c r="N229" s="69">
        <f>Annahmen!$B$8</f>
        <v>78</v>
      </c>
      <c r="O229" s="72">
        <f>INDEX(Quelle_SMARD_Preise_2025!$C$11:$C$375, MATCH($A229,Quelle_SMARD_Preise_2025!$A$11:$A$375, 0))</f>
        <v>60.93</v>
      </c>
      <c r="P229" s="69">
        <f t="shared" si="35"/>
        <v>695.22419353694909</v>
      </c>
      <c r="Q229" s="69">
        <f t="shared" si="36"/>
        <v>232.74730830882592</v>
      </c>
      <c r="R229" s="73">
        <f>Annahmen!$B$9</f>
        <v>0.05</v>
      </c>
      <c r="S229" s="69">
        <f t="shared" si="37"/>
        <v>0.63665219188365318</v>
      </c>
      <c r="T229" s="69">
        <f t="shared" si="38"/>
        <v>0</v>
      </c>
      <c r="U229" s="74">
        <f>$O229+Annahmen!$B$10+(T229*Annahmen!$B$11)</f>
        <v>68.930000000000007</v>
      </c>
      <c r="V229" s="74">
        <f t="shared" si="31"/>
        <v>43.884435586540221</v>
      </c>
      <c r="W229" s="74">
        <f t="shared" si="39"/>
        <v>683.43976146518287</v>
      </c>
    </row>
    <row r="230" spans="1:23" x14ac:dyDescent="0.35">
      <c r="A230" s="70">
        <v>45886</v>
      </c>
      <c r="B230" s="71" t="str">
        <f t="shared" si="32"/>
        <v>So</v>
      </c>
      <c r="C230" s="69">
        <f t="shared" si="33"/>
        <v>8</v>
      </c>
      <c r="D230" s="69">
        <v>229</v>
      </c>
      <c r="E230" s="69" t="str">
        <f>IF(OR(COUNTIF(Feiertage_Hessen_2025!$C$4:$C$13,A230)&gt;0,WEEKDAY(A230,2)=7),"FT",IF(WEEKDAY(A230,2)=6,"SA","WT"))</f>
        <v>FT</v>
      </c>
      <c r="F230" s="69">
        <f>INDEX('BDEW-H25 Tagessummen'!$C$4:$C$39, MATCH(C230&amp;"_"&amp;E230, 'BDEW-H25 Tagessummen'!$D$4:$D$39, 0))</f>
        <v>3254.2179999999998</v>
      </c>
      <c r="G230" s="69">
        <f t="shared" si="30"/>
        <v>0.80439535544800012</v>
      </c>
      <c r="H230" s="69">
        <f>Tabelle1[[#This Row],[Profilwert (kWh)]]*Tabelle1[[#This Row],[Dynamisierungsfaktor]]</f>
        <v>2617.67784481528</v>
      </c>
      <c r="I230" s="69">
        <f>Annahmen!$B$5*(H230/SUM($H$2:$H$366))</f>
        <v>13.094050409959561</v>
      </c>
      <c r="J230" s="69">
        <f>Annahmen!$B$6</f>
        <v>130</v>
      </c>
      <c r="K230" s="69">
        <f t="shared" si="34"/>
        <v>1702.2265532947429</v>
      </c>
      <c r="L230" s="69">
        <f>I230*Annahmen!$B$7</f>
        <v>9.1658352869716921</v>
      </c>
      <c r="M230" s="69">
        <f>I230*(1-Annahmen!$B$7)</f>
        <v>3.928215122987869</v>
      </c>
      <c r="N230" s="69">
        <f>Annahmen!$B$8</f>
        <v>78</v>
      </c>
      <c r="O230" s="72">
        <f>INDEX(Quelle_SMARD_Preise_2025!$C$11:$C$375, MATCH($A230,Quelle_SMARD_Preise_2025!$A$11:$A$375, 0))</f>
        <v>64.05</v>
      </c>
      <c r="P230" s="69">
        <f t="shared" si="35"/>
        <v>714.935152383792</v>
      </c>
      <c r="Q230" s="69">
        <f t="shared" si="36"/>
        <v>251.60217862737301</v>
      </c>
      <c r="R230" s="73">
        <f>Annahmen!$B$9</f>
        <v>0.05</v>
      </c>
      <c r="S230" s="69">
        <f t="shared" si="37"/>
        <v>0.65470252049797806</v>
      </c>
      <c r="T230" s="69">
        <f t="shared" si="38"/>
        <v>0</v>
      </c>
      <c r="U230" s="74">
        <f>$O230+Annahmen!$B$10+(T230*Annahmen!$B$11)</f>
        <v>72.05</v>
      </c>
      <c r="V230" s="74">
        <f t="shared" si="31"/>
        <v>47.171316601879319</v>
      </c>
      <c r="W230" s="74">
        <f t="shared" si="39"/>
        <v>688.51790568169861</v>
      </c>
    </row>
    <row r="231" spans="1:23" x14ac:dyDescent="0.35">
      <c r="A231" s="70">
        <v>45887</v>
      </c>
      <c r="B231" s="71" t="str">
        <f t="shared" si="32"/>
        <v>Mo</v>
      </c>
      <c r="C231" s="69">
        <f t="shared" si="33"/>
        <v>8</v>
      </c>
      <c r="D231" s="69">
        <v>230</v>
      </c>
      <c r="E231" s="69" t="str">
        <f>IF(OR(COUNTIF(Feiertage_Hessen_2025!$C$4:$C$13,A231)&gt;0,WEEKDAY(A231,2)=7),"FT",IF(WEEKDAY(A231,2)=6,"SA","WT"))</f>
        <v>WT</v>
      </c>
      <c r="F231" s="69">
        <f>INDEX('BDEW-H25 Tagessummen'!$C$4:$C$39, MATCH(C231&amp;"_"&amp;E231, 'BDEW-H25 Tagessummen'!$D$4:$D$39, 0))</f>
        <v>2820.5209999999993</v>
      </c>
      <c r="G231" s="69">
        <f t="shared" si="30"/>
        <v>0.80588328000000042</v>
      </c>
      <c r="H231" s="69">
        <f>Tabelle1[[#This Row],[Profilwert (kWh)]]*Tabelle1[[#This Row],[Dynamisierungsfaktor]]</f>
        <v>2273.0107147888807</v>
      </c>
      <c r="I231" s="69">
        <f>Annahmen!$B$5*(H231/SUM($H$2:$H$366))</f>
        <v>11.369969356914535</v>
      </c>
      <c r="J231" s="69">
        <f>Annahmen!$B$6</f>
        <v>130</v>
      </c>
      <c r="K231" s="69">
        <f t="shared" si="34"/>
        <v>1478.0960163988896</v>
      </c>
      <c r="L231" s="69">
        <f>I231*Annahmen!$B$7</f>
        <v>7.9589785498401735</v>
      </c>
      <c r="M231" s="69">
        <f>I231*(1-Annahmen!$B$7)</f>
        <v>3.4109908070743611</v>
      </c>
      <c r="N231" s="69">
        <f>Annahmen!$B$8</f>
        <v>78</v>
      </c>
      <c r="O231" s="72">
        <f>INDEX(Quelle_SMARD_Preise_2025!$C$11:$C$375, MATCH($A231,Quelle_SMARD_Preise_2025!$A$11:$A$375, 0))</f>
        <v>91.53</v>
      </c>
      <c r="P231" s="69">
        <f t="shared" si="35"/>
        <v>620.80032688753352</v>
      </c>
      <c r="Q231" s="69">
        <f t="shared" si="36"/>
        <v>312.2079885715163</v>
      </c>
      <c r="R231" s="73">
        <f>Annahmen!$B$9</f>
        <v>0.05</v>
      </c>
      <c r="S231" s="69">
        <f t="shared" si="37"/>
        <v>0.56849846784572677</v>
      </c>
      <c r="T231" s="69">
        <f t="shared" si="38"/>
        <v>0</v>
      </c>
      <c r="U231" s="74">
        <f>$O231+Annahmen!$B$10+(T231*Annahmen!$B$11)</f>
        <v>99.53</v>
      </c>
      <c r="V231" s="74">
        <f t="shared" si="31"/>
        <v>56.582652504685186</v>
      </c>
      <c r="W231" s="74">
        <f t="shared" si="39"/>
        <v>488.50504843515461</v>
      </c>
    </row>
    <row r="232" spans="1:23" x14ac:dyDescent="0.35">
      <c r="A232" s="70">
        <v>45888</v>
      </c>
      <c r="B232" s="71" t="str">
        <f t="shared" si="32"/>
        <v>Di</v>
      </c>
      <c r="C232" s="69">
        <f t="shared" si="33"/>
        <v>8</v>
      </c>
      <c r="D232" s="69">
        <v>231</v>
      </c>
      <c r="E232" s="69" t="str">
        <f>IF(OR(COUNTIF(Feiertage_Hessen_2025!$C$4:$C$13,A232)&gt;0,WEEKDAY(A232,2)=7),"FT",IF(WEEKDAY(A232,2)=6,"SA","WT"))</f>
        <v>WT</v>
      </c>
      <c r="F232" s="69">
        <f>INDEX('BDEW-H25 Tagessummen'!$C$4:$C$39, MATCH(C232&amp;"_"&amp;E232, 'BDEW-H25 Tagessummen'!$D$4:$D$39, 0))</f>
        <v>2820.5209999999993</v>
      </c>
      <c r="G232" s="69">
        <f t="shared" si="30"/>
        <v>0.80742356216799993</v>
      </c>
      <c r="H232" s="69">
        <f>Tabelle1[[#This Row],[Profilwert (kWh)]]*Tabelle1[[#This Row],[Dynamisierungsfaktor]]</f>
        <v>2277.3551129896487</v>
      </c>
      <c r="I232" s="69">
        <f>Annahmen!$B$5*(H232/SUM($H$2:$H$366))</f>
        <v>11.39170074343884</v>
      </c>
      <c r="J232" s="69">
        <f>Annahmen!$B$6</f>
        <v>130</v>
      </c>
      <c r="K232" s="69">
        <f t="shared" si="34"/>
        <v>1480.9210966470491</v>
      </c>
      <c r="L232" s="69">
        <f>I232*Annahmen!$B$7</f>
        <v>7.9741905204071868</v>
      </c>
      <c r="M232" s="69">
        <f>I232*(1-Annahmen!$B$7)</f>
        <v>3.4175102230316523</v>
      </c>
      <c r="N232" s="69">
        <f>Annahmen!$B$8</f>
        <v>78</v>
      </c>
      <c r="O232" s="72">
        <f>INDEX(Quelle_SMARD_Preise_2025!$C$11:$C$375, MATCH($A232,Quelle_SMARD_Preise_2025!$A$11:$A$375, 0))</f>
        <v>82.39</v>
      </c>
      <c r="P232" s="69">
        <f t="shared" si="35"/>
        <v>621.98686059176055</v>
      </c>
      <c r="Q232" s="69">
        <f t="shared" si="36"/>
        <v>281.56866727557781</v>
      </c>
      <c r="R232" s="73">
        <f>Annahmen!$B$9</f>
        <v>0.05</v>
      </c>
      <c r="S232" s="69">
        <f t="shared" si="37"/>
        <v>0.56958503717194198</v>
      </c>
      <c r="T232" s="69">
        <f t="shared" si="38"/>
        <v>0</v>
      </c>
      <c r="U232" s="74">
        <f>$O232+Annahmen!$B$10+(T232*Annahmen!$B$11)</f>
        <v>90.39</v>
      </c>
      <c r="V232" s="74">
        <f t="shared" si="31"/>
        <v>51.484791509971835</v>
      </c>
      <c r="W232" s="74">
        <f t="shared" si="39"/>
        <v>525.88077726973893</v>
      </c>
    </row>
    <row r="233" spans="1:23" x14ac:dyDescent="0.35">
      <c r="A233" s="70">
        <v>45889</v>
      </c>
      <c r="B233" s="71" t="str">
        <f t="shared" si="32"/>
        <v>Mi</v>
      </c>
      <c r="C233" s="69">
        <f t="shared" si="33"/>
        <v>8</v>
      </c>
      <c r="D233" s="69">
        <v>232</v>
      </c>
      <c r="E233" s="69" t="str">
        <f>IF(OR(COUNTIF(Feiertage_Hessen_2025!$C$4:$C$13,A233)&gt;0,WEEKDAY(A233,2)=7),"FT",IF(WEEKDAY(A233,2)=6,"SA","WT"))</f>
        <v>WT</v>
      </c>
      <c r="F233" s="69">
        <f>INDEX('BDEW-H25 Tagessummen'!$C$4:$C$39, MATCH(C233&amp;"_"&amp;E233, 'BDEW-H25 Tagessummen'!$D$4:$D$39, 0))</f>
        <v>2820.5209999999993</v>
      </c>
      <c r="G233" s="69">
        <f t="shared" si="30"/>
        <v>0.80901595340800037</v>
      </c>
      <c r="H233" s="69">
        <f>Tabelle1[[#This Row],[Profilwert (kWh)]]*Tabelle1[[#This Row],[Dynamisierungsfaktor]]</f>
        <v>2281.8464859222859</v>
      </c>
      <c r="I233" s="69">
        <f>Annahmen!$B$5*(H233/SUM($H$2:$H$366))</f>
        <v>11.41416732148104</v>
      </c>
      <c r="J233" s="69">
        <f>Annahmen!$B$6</f>
        <v>130</v>
      </c>
      <c r="K233" s="69">
        <f t="shared" si="34"/>
        <v>1483.8417517925352</v>
      </c>
      <c r="L233" s="69">
        <f>I233*Annahmen!$B$7</f>
        <v>7.9899171250367278</v>
      </c>
      <c r="M233" s="69">
        <f>I233*(1-Annahmen!$B$7)</f>
        <v>3.4242501964443126</v>
      </c>
      <c r="N233" s="69">
        <f>Annahmen!$B$8</f>
        <v>78</v>
      </c>
      <c r="O233" s="72">
        <f>INDEX(Quelle_SMARD_Preise_2025!$C$11:$C$375, MATCH($A233,Quelle_SMARD_Preise_2025!$A$11:$A$375, 0))</f>
        <v>91.01</v>
      </c>
      <c r="P233" s="69">
        <f t="shared" si="35"/>
        <v>623.2135357528648</v>
      </c>
      <c r="Q233" s="69">
        <f t="shared" si="36"/>
        <v>311.64101037839691</v>
      </c>
      <c r="R233" s="73">
        <f>Annahmen!$B$9</f>
        <v>0.05</v>
      </c>
      <c r="S233" s="69">
        <f t="shared" si="37"/>
        <v>0.57070836607405206</v>
      </c>
      <c r="T233" s="69">
        <f t="shared" si="38"/>
        <v>0</v>
      </c>
      <c r="U233" s="74">
        <f>$O233+Annahmen!$B$10+(T233*Annahmen!$B$11)</f>
        <v>99.01</v>
      </c>
      <c r="V233" s="74">
        <f t="shared" si="31"/>
        <v>56.505835324991899</v>
      </c>
      <c r="W233" s="74">
        <f t="shared" si="39"/>
        <v>492.4813703362816</v>
      </c>
    </row>
    <row r="234" spans="1:23" x14ac:dyDescent="0.35">
      <c r="A234" s="70">
        <v>45890</v>
      </c>
      <c r="B234" s="71" t="str">
        <f t="shared" si="32"/>
        <v>Do</v>
      </c>
      <c r="C234" s="69">
        <f t="shared" si="33"/>
        <v>8</v>
      </c>
      <c r="D234" s="69">
        <v>233</v>
      </c>
      <c r="E234" s="69" t="str">
        <f>IF(OR(COUNTIF(Feiertage_Hessen_2025!$C$4:$C$13,A234)&gt;0,WEEKDAY(A234,2)=7),"FT",IF(WEEKDAY(A234,2)=6,"SA","WT"))</f>
        <v>WT</v>
      </c>
      <c r="F234" s="69">
        <f>INDEX('BDEW-H25 Tagessummen'!$C$4:$C$39, MATCH(C234&amp;"_"&amp;E234, 'BDEW-H25 Tagessummen'!$D$4:$D$39, 0))</f>
        <v>2820.5209999999993</v>
      </c>
      <c r="G234" s="69">
        <f t="shared" si="30"/>
        <v>0.81066019576799975</v>
      </c>
      <c r="H234" s="69">
        <f>Tabelle1[[#This Row],[Profilwert (kWh)]]*Tabelle1[[#This Row],[Dynamisierungsfaktor]]</f>
        <v>2286.484106027754</v>
      </c>
      <c r="I234" s="69">
        <f>Annahmen!$B$5*(H234/SUM($H$2:$H$366))</f>
        <v>11.437365451672468</v>
      </c>
      <c r="J234" s="69">
        <f>Annahmen!$B$6</f>
        <v>130</v>
      </c>
      <c r="K234" s="69">
        <f t="shared" si="34"/>
        <v>1486.8575087174208</v>
      </c>
      <c r="L234" s="69">
        <f>I234*Annahmen!$B$7</f>
        <v>8.0061558161707271</v>
      </c>
      <c r="M234" s="69">
        <f>I234*(1-Annahmen!$B$7)</f>
        <v>3.431209635501741</v>
      </c>
      <c r="N234" s="69">
        <f>Annahmen!$B$8</f>
        <v>78</v>
      </c>
      <c r="O234" s="72">
        <f>INDEX(Quelle_SMARD_Preise_2025!$C$11:$C$375, MATCH($A234,Quelle_SMARD_Preise_2025!$A$11:$A$375, 0))</f>
        <v>92.68</v>
      </c>
      <c r="P234" s="69">
        <f t="shared" si="35"/>
        <v>624.48015366131676</v>
      </c>
      <c r="Q234" s="69">
        <f t="shared" si="36"/>
        <v>318.00450901830135</v>
      </c>
      <c r="R234" s="73">
        <f>Annahmen!$B$9</f>
        <v>0.05</v>
      </c>
      <c r="S234" s="69">
        <f t="shared" si="37"/>
        <v>0.57186827258362338</v>
      </c>
      <c r="T234" s="69">
        <f t="shared" si="38"/>
        <v>0</v>
      </c>
      <c r="U234" s="74">
        <f>$O234+Annahmen!$B$10+(T234*Annahmen!$B$11)</f>
        <v>100.68</v>
      </c>
      <c r="V234" s="74">
        <f t="shared" si="31"/>
        <v>57.575697683719206</v>
      </c>
      <c r="W234" s="74">
        <f t="shared" si="39"/>
        <v>486.79714835408345</v>
      </c>
    </row>
    <row r="235" spans="1:23" x14ac:dyDescent="0.35">
      <c r="A235" s="70">
        <v>45891</v>
      </c>
      <c r="B235" s="71" t="str">
        <f t="shared" si="32"/>
        <v>Fr</v>
      </c>
      <c r="C235" s="69">
        <f t="shared" si="33"/>
        <v>8</v>
      </c>
      <c r="D235" s="69">
        <v>234</v>
      </c>
      <c r="E235" s="69" t="str">
        <f>IF(OR(COUNTIF(Feiertage_Hessen_2025!$C$4:$C$13,A235)&gt;0,WEEKDAY(A235,2)=7),"FT",IF(WEEKDAY(A235,2)=6,"SA","WT"))</f>
        <v>WT</v>
      </c>
      <c r="F235" s="69">
        <f>INDEX('BDEW-H25 Tagessummen'!$C$4:$C$39, MATCH(C235&amp;"_"&amp;E235, 'BDEW-H25 Tagessummen'!$D$4:$D$39, 0))</f>
        <v>2820.5209999999993</v>
      </c>
      <c r="G235" s="69">
        <f t="shared" si="30"/>
        <v>0.81235602188800038</v>
      </c>
      <c r="H235" s="69">
        <f>Tabelle1[[#This Row],[Profilwert (kWh)]]*Tabelle1[[#This Row],[Dynamisierungsfaktor]]</f>
        <v>2291.2672192115642</v>
      </c>
      <c r="I235" s="69">
        <f>Annahmen!$B$5*(H235/SUM($H$2:$H$366))</f>
        <v>11.46129136190982</v>
      </c>
      <c r="J235" s="69">
        <f>Annahmen!$B$6</f>
        <v>130</v>
      </c>
      <c r="K235" s="69">
        <f t="shared" si="34"/>
        <v>1489.9678770482767</v>
      </c>
      <c r="L235" s="69">
        <f>I235*Annahmen!$B$7</f>
        <v>8.0229039533368738</v>
      </c>
      <c r="M235" s="69">
        <f>I235*(1-Annahmen!$B$7)</f>
        <v>3.4383874085729467</v>
      </c>
      <c r="N235" s="69">
        <f>Annahmen!$B$8</f>
        <v>78</v>
      </c>
      <c r="O235" s="72">
        <f>INDEX(Quelle_SMARD_Preise_2025!$C$11:$C$375, MATCH($A235,Quelle_SMARD_Preise_2025!$A$11:$A$375, 0))</f>
        <v>73.69</v>
      </c>
      <c r="P235" s="69">
        <f t="shared" si="35"/>
        <v>625.78650836027612</v>
      </c>
      <c r="Q235" s="69">
        <f t="shared" si="36"/>
        <v>253.37476813774043</v>
      </c>
      <c r="R235" s="73">
        <f>Annahmen!$B$9</f>
        <v>0.05</v>
      </c>
      <c r="S235" s="69">
        <f t="shared" si="37"/>
        <v>0.573064568095491</v>
      </c>
      <c r="T235" s="69">
        <f t="shared" si="38"/>
        <v>0</v>
      </c>
      <c r="U235" s="74">
        <f>$O235+Annahmen!$B$10+(T235*Annahmen!$B$11)</f>
        <v>81.69</v>
      </c>
      <c r="V235" s="74">
        <f t="shared" si="31"/>
        <v>46.813644567720658</v>
      </c>
      <c r="W235" s="74">
        <f t="shared" si="39"/>
        <v>563.99295598253946</v>
      </c>
    </row>
    <row r="236" spans="1:23" x14ac:dyDescent="0.35">
      <c r="A236" s="70">
        <v>45892</v>
      </c>
      <c r="B236" s="71" t="str">
        <f t="shared" si="32"/>
        <v>Sa</v>
      </c>
      <c r="C236" s="69">
        <f t="shared" si="33"/>
        <v>8</v>
      </c>
      <c r="D236" s="69">
        <v>235</v>
      </c>
      <c r="E236" s="69" t="str">
        <f>IF(OR(COUNTIF(Feiertage_Hessen_2025!$C$4:$C$13,A236)&gt;0,WEEKDAY(A236,2)=7),"FT",IF(WEEKDAY(A236,2)=6,"SA","WT"))</f>
        <v>SA</v>
      </c>
      <c r="F236" s="69">
        <f>INDEX('BDEW-H25 Tagessummen'!$C$4:$C$39, MATCH(C236&amp;"_"&amp;E236, 'BDEW-H25 Tagessummen'!$D$4:$D$39, 0))</f>
        <v>3170.1549999999993</v>
      </c>
      <c r="G236" s="69">
        <f t="shared" si="30"/>
        <v>0.81410315499999997</v>
      </c>
      <c r="H236" s="69">
        <f>Tabelle1[[#This Row],[Profilwert (kWh)]]*Tabelle1[[#This Row],[Dynamisierungsfaktor]]</f>
        <v>2580.8331873390243</v>
      </c>
      <c r="I236" s="69">
        <f>Annahmen!$B$5*(H236/SUM($H$2:$H$366))</f>
        <v>12.909747439566413</v>
      </c>
      <c r="J236" s="69">
        <f>Annahmen!$B$6</f>
        <v>130</v>
      </c>
      <c r="K236" s="69">
        <f t="shared" si="34"/>
        <v>1678.2671671436337</v>
      </c>
      <c r="L236" s="69">
        <f>I236*Annahmen!$B$7</f>
        <v>9.0368232076964876</v>
      </c>
      <c r="M236" s="69">
        <f>I236*(1-Annahmen!$B$7)</f>
        <v>3.8729242318699244</v>
      </c>
      <c r="N236" s="69">
        <f>Annahmen!$B$8</f>
        <v>78</v>
      </c>
      <c r="O236" s="72">
        <f>INDEX(Quelle_SMARD_Preise_2025!$C$11:$C$375, MATCH($A236,Quelle_SMARD_Preise_2025!$A$11:$A$375, 0))</f>
        <v>67.88</v>
      </c>
      <c r="P236" s="69">
        <f t="shared" si="35"/>
        <v>704.87221020032598</v>
      </c>
      <c r="Q236" s="69">
        <f t="shared" si="36"/>
        <v>262.89409685933043</v>
      </c>
      <c r="R236" s="73">
        <f>Annahmen!$B$9</f>
        <v>0.05</v>
      </c>
      <c r="S236" s="69">
        <f t="shared" si="37"/>
        <v>0.64548737197832073</v>
      </c>
      <c r="T236" s="69">
        <f t="shared" si="38"/>
        <v>0</v>
      </c>
      <c r="U236" s="74">
        <f>$O236+Annahmen!$B$10+(T236*Annahmen!$B$11)</f>
        <v>75.88</v>
      </c>
      <c r="V236" s="74">
        <f t="shared" si="31"/>
        <v>48.979581785714977</v>
      </c>
      <c r="W236" s="74">
        <f t="shared" si="39"/>
        <v>661.52127829826236</v>
      </c>
    </row>
    <row r="237" spans="1:23" x14ac:dyDescent="0.35">
      <c r="A237" s="70">
        <v>45893</v>
      </c>
      <c r="B237" s="71" t="str">
        <f t="shared" si="32"/>
        <v>So</v>
      </c>
      <c r="C237" s="69">
        <f t="shared" si="33"/>
        <v>8</v>
      </c>
      <c r="D237" s="69">
        <v>236</v>
      </c>
      <c r="E237" s="69" t="str">
        <f>IF(OR(COUNTIF(Feiertage_Hessen_2025!$C$4:$C$13,A237)&gt;0,WEEKDAY(A237,2)=7),"FT",IF(WEEKDAY(A237,2)=6,"SA","WT"))</f>
        <v>FT</v>
      </c>
      <c r="F237" s="69">
        <f>INDEX('BDEW-H25 Tagessummen'!$C$4:$C$39, MATCH(C237&amp;"_"&amp;E237, 'BDEW-H25 Tagessummen'!$D$4:$D$39, 0))</f>
        <v>3254.2179999999998</v>
      </c>
      <c r="G237" s="69">
        <f t="shared" si="30"/>
        <v>0.8159013089280005</v>
      </c>
      <c r="H237" s="69">
        <f>Tabelle1[[#This Row],[Profilwert (kWh)]]*Tabelle1[[#This Row],[Dynamisierungsfaktor]]</f>
        <v>2655.1207257370597</v>
      </c>
      <c r="I237" s="69">
        <f>Annahmen!$B$5*(H237/SUM($H$2:$H$366))</f>
        <v>13.281345791343091</v>
      </c>
      <c r="J237" s="69">
        <f>Annahmen!$B$6</f>
        <v>130</v>
      </c>
      <c r="K237" s="69">
        <f t="shared" si="34"/>
        <v>1726.5749528746019</v>
      </c>
      <c r="L237" s="69">
        <f>I237*Annahmen!$B$7</f>
        <v>9.2969420539401622</v>
      </c>
      <c r="M237" s="69">
        <f>I237*(1-Annahmen!$B$7)</f>
        <v>3.984403737402928</v>
      </c>
      <c r="N237" s="69">
        <f>Annahmen!$B$8</f>
        <v>78</v>
      </c>
      <c r="O237" s="72">
        <f>INDEX(Quelle_SMARD_Preise_2025!$C$11:$C$375, MATCH($A237,Quelle_SMARD_Preise_2025!$A$11:$A$375, 0))</f>
        <v>63.05</v>
      </c>
      <c r="P237" s="69">
        <f t="shared" si="35"/>
        <v>725.1614802073326</v>
      </c>
      <c r="Q237" s="69">
        <f t="shared" si="36"/>
        <v>251.2166556432546</v>
      </c>
      <c r="R237" s="73">
        <f>Annahmen!$B$9</f>
        <v>0.05</v>
      </c>
      <c r="S237" s="69">
        <f t="shared" si="37"/>
        <v>0.66406728956715455</v>
      </c>
      <c r="T237" s="69">
        <f t="shared" si="38"/>
        <v>0</v>
      </c>
      <c r="U237" s="74">
        <f>$O237+Annahmen!$B$10+(T237*Annahmen!$B$11)</f>
        <v>71.05</v>
      </c>
      <c r="V237" s="74">
        <f t="shared" si="31"/>
        <v>47.18198092374633</v>
      </c>
      <c r="W237" s="74">
        <f t="shared" si="39"/>
        <v>703.01483610026833</v>
      </c>
    </row>
    <row r="238" spans="1:23" x14ac:dyDescent="0.35">
      <c r="A238" s="70">
        <v>45894</v>
      </c>
      <c r="B238" s="71" t="str">
        <f t="shared" si="32"/>
        <v>Mo</v>
      </c>
      <c r="C238" s="69">
        <f t="shared" si="33"/>
        <v>8</v>
      </c>
      <c r="D238" s="69">
        <v>237</v>
      </c>
      <c r="E238" s="69" t="str">
        <f>IF(OR(COUNTIF(Feiertage_Hessen_2025!$C$4:$C$13,A238)&gt;0,WEEKDAY(A238,2)=7),"FT",IF(WEEKDAY(A238,2)=6,"SA","WT"))</f>
        <v>WT</v>
      </c>
      <c r="F238" s="69">
        <f>INDEX('BDEW-H25 Tagessummen'!$C$4:$C$39, MATCH(C238&amp;"_"&amp;E238, 'BDEW-H25 Tagessummen'!$D$4:$D$39, 0))</f>
        <v>2820.5209999999993</v>
      </c>
      <c r="G238" s="69">
        <f t="shared" si="30"/>
        <v>0.81775018808800026</v>
      </c>
      <c r="H238" s="69">
        <f>Tabelle1[[#This Row],[Profilwert (kWh)]]*Tabelle1[[#This Row],[Dynamisierungsfaktor]]</f>
        <v>2306.4815782561541</v>
      </c>
      <c r="I238" s="69">
        <f>Annahmen!$B$5*(H238/SUM($H$2:$H$366))</f>
        <v>11.53739606084352</v>
      </c>
      <c r="J238" s="69">
        <f>Annahmen!$B$6</f>
        <v>130</v>
      </c>
      <c r="K238" s="69">
        <f t="shared" si="34"/>
        <v>1499.8614879096576</v>
      </c>
      <c r="L238" s="69">
        <f>I238*Annahmen!$B$7</f>
        <v>8.0761772425904628</v>
      </c>
      <c r="M238" s="69">
        <f>I238*(1-Annahmen!$B$7)</f>
        <v>3.4612188182530566</v>
      </c>
      <c r="N238" s="69">
        <f>Annahmen!$B$8</f>
        <v>78</v>
      </c>
      <c r="O238" s="72">
        <f>INDEX(Quelle_SMARD_Preise_2025!$C$11:$C$375, MATCH($A238,Quelle_SMARD_Preise_2025!$A$11:$A$375, 0))</f>
        <v>89.09</v>
      </c>
      <c r="P238" s="69">
        <f t="shared" si="35"/>
        <v>629.94182492205607</v>
      </c>
      <c r="Q238" s="69">
        <f t="shared" si="36"/>
        <v>308.35998451816482</v>
      </c>
      <c r="R238" s="73">
        <f>Annahmen!$B$9</f>
        <v>0.05</v>
      </c>
      <c r="S238" s="69">
        <f t="shared" si="37"/>
        <v>0.57686980304217605</v>
      </c>
      <c r="T238" s="69">
        <f t="shared" si="38"/>
        <v>0</v>
      </c>
      <c r="U238" s="74">
        <f>$O238+Annahmen!$B$10+(T238*Annahmen!$B$11)</f>
        <v>97.09</v>
      </c>
      <c r="V238" s="74">
        <f t="shared" si="31"/>
        <v>56.008289177364873</v>
      </c>
      <c r="W238" s="74">
        <f t="shared" si="39"/>
        <v>505.5513892920718</v>
      </c>
    </row>
    <row r="239" spans="1:23" x14ac:dyDescent="0.35">
      <c r="A239" s="70">
        <v>45895</v>
      </c>
      <c r="B239" s="71" t="str">
        <f t="shared" si="32"/>
        <v>Di</v>
      </c>
      <c r="C239" s="69">
        <f t="shared" si="33"/>
        <v>8</v>
      </c>
      <c r="D239" s="69">
        <v>238</v>
      </c>
      <c r="E239" s="69" t="str">
        <f>IF(OR(COUNTIF(Feiertage_Hessen_2025!$C$4:$C$13,A239)&gt;0,WEEKDAY(A239,2)=7),"FT",IF(WEEKDAY(A239,2)=6,"SA","WT"))</f>
        <v>WT</v>
      </c>
      <c r="F239" s="69">
        <f>INDEX('BDEW-H25 Tagessummen'!$C$4:$C$39, MATCH(C239&amp;"_"&amp;E239, 'BDEW-H25 Tagessummen'!$D$4:$D$39, 0))</f>
        <v>2820.5209999999993</v>
      </c>
      <c r="G239" s="69">
        <f t="shared" si="30"/>
        <v>0.81964948748800048</v>
      </c>
      <c r="H239" s="69">
        <f>Tabelle1[[#This Row],[Profilwert (kWh)]]*Tabelle1[[#This Row],[Dynamisierungsfaktor]]</f>
        <v>2311.8385920991418</v>
      </c>
      <c r="I239" s="69">
        <f>Annahmen!$B$5*(H239/SUM($H$2:$H$366))</f>
        <v>11.564192715537246</v>
      </c>
      <c r="J239" s="69">
        <f>Annahmen!$B$6</f>
        <v>130</v>
      </c>
      <c r="K239" s="69">
        <f t="shared" si="34"/>
        <v>1503.345053019842</v>
      </c>
      <c r="L239" s="69">
        <f>I239*Annahmen!$B$7</f>
        <v>8.0949349008760709</v>
      </c>
      <c r="M239" s="69">
        <f>I239*(1-Annahmen!$B$7)</f>
        <v>3.4692578146611743</v>
      </c>
      <c r="N239" s="69">
        <f>Annahmen!$B$8</f>
        <v>78</v>
      </c>
      <c r="O239" s="72">
        <f>INDEX(Quelle_SMARD_Preise_2025!$C$11:$C$375, MATCH($A239,Quelle_SMARD_Preise_2025!$A$11:$A$375, 0))</f>
        <v>99.79</v>
      </c>
      <c r="P239" s="69">
        <f t="shared" si="35"/>
        <v>631.40492226833351</v>
      </c>
      <c r="Q239" s="69">
        <f t="shared" si="36"/>
        <v>346.1972373250386</v>
      </c>
      <c r="R239" s="73">
        <f>Annahmen!$B$9</f>
        <v>0.05</v>
      </c>
      <c r="S239" s="69">
        <f t="shared" si="37"/>
        <v>0.57820963577686235</v>
      </c>
      <c r="T239" s="69">
        <f t="shared" si="38"/>
        <v>0</v>
      </c>
      <c r="U239" s="74">
        <f>$O239+Annahmen!$B$10+(T239*Annahmen!$B$11)</f>
        <v>107.79</v>
      </c>
      <c r="V239" s="74">
        <f t="shared" si="31"/>
        <v>62.325216640388</v>
      </c>
      <c r="W239" s="74">
        <f t="shared" si="39"/>
        <v>463.41767678608187</v>
      </c>
    </row>
    <row r="240" spans="1:23" x14ac:dyDescent="0.35">
      <c r="A240" s="70">
        <v>45896</v>
      </c>
      <c r="B240" s="71" t="str">
        <f t="shared" si="32"/>
        <v>Mi</v>
      </c>
      <c r="C240" s="69">
        <f t="shared" si="33"/>
        <v>8</v>
      </c>
      <c r="D240" s="69">
        <v>239</v>
      </c>
      <c r="E240" s="69" t="str">
        <f>IF(OR(COUNTIF(Feiertage_Hessen_2025!$C$4:$C$13,A240)&gt;0,WEEKDAY(A240,2)=7),"FT",IF(WEEKDAY(A240,2)=6,"SA","WT"))</f>
        <v>WT</v>
      </c>
      <c r="F240" s="69">
        <f>INDEX('BDEW-H25 Tagessummen'!$C$4:$C$39, MATCH(C240&amp;"_"&amp;E240, 'BDEW-H25 Tagessummen'!$D$4:$D$39, 0))</f>
        <v>2820.5209999999993</v>
      </c>
      <c r="G240" s="69">
        <f t="shared" si="30"/>
        <v>0.82159889272800057</v>
      </c>
      <c r="H240" s="69">
        <f>Tabelle1[[#This Row],[Profilwert (kWh)]]*Tabelle1[[#This Row],[Dynamisierungsfaktor]]</f>
        <v>2317.3369305160722</v>
      </c>
      <c r="I240" s="69">
        <f>Annahmen!$B$5*(H240/SUM($H$2:$H$366))</f>
        <v>11.591696298739778</v>
      </c>
      <c r="J240" s="69">
        <f>Annahmen!$B$6</f>
        <v>130</v>
      </c>
      <c r="K240" s="69">
        <f t="shared" si="34"/>
        <v>1506.9205188361711</v>
      </c>
      <c r="L240" s="69">
        <f>I240*Annahmen!$B$7</f>
        <v>8.1141874091178448</v>
      </c>
      <c r="M240" s="69">
        <f>I240*(1-Annahmen!$B$7)</f>
        <v>3.4775088896219342</v>
      </c>
      <c r="N240" s="69">
        <f>Annahmen!$B$8</f>
        <v>78</v>
      </c>
      <c r="O240" s="72">
        <f>INDEX(Quelle_SMARD_Preise_2025!$C$11:$C$375, MATCH($A240,Quelle_SMARD_Preise_2025!$A$11:$A$375, 0))</f>
        <v>104.62</v>
      </c>
      <c r="P240" s="69">
        <f t="shared" si="35"/>
        <v>632.90661791119192</v>
      </c>
      <c r="Q240" s="69">
        <f t="shared" si="36"/>
        <v>363.81698003224676</v>
      </c>
      <c r="R240" s="73">
        <f>Annahmen!$B$9</f>
        <v>0.05</v>
      </c>
      <c r="S240" s="69">
        <f t="shared" si="37"/>
        <v>0.57958481493698899</v>
      </c>
      <c r="T240" s="69">
        <f t="shared" si="38"/>
        <v>0</v>
      </c>
      <c r="U240" s="74">
        <f>$O240+Annahmen!$B$10+(T240*Annahmen!$B$11)</f>
        <v>112.62</v>
      </c>
      <c r="V240" s="74">
        <f t="shared" si="31"/>
        <v>65.272841858203705</v>
      </c>
      <c r="W240" s="74">
        <f t="shared" si="39"/>
        <v>444.92407903452875</v>
      </c>
    </row>
    <row r="241" spans="1:23" x14ac:dyDescent="0.35">
      <c r="A241" s="70">
        <v>45897</v>
      </c>
      <c r="B241" s="71" t="str">
        <f t="shared" si="32"/>
        <v>Do</v>
      </c>
      <c r="C241" s="69">
        <f t="shared" si="33"/>
        <v>8</v>
      </c>
      <c r="D241" s="69">
        <v>240</v>
      </c>
      <c r="E241" s="69" t="str">
        <f>IF(OR(COUNTIF(Feiertage_Hessen_2025!$C$4:$C$13,A241)&gt;0,WEEKDAY(A241,2)=7),"FT",IF(WEEKDAY(A241,2)=6,"SA","WT"))</f>
        <v>WT</v>
      </c>
      <c r="F241" s="69">
        <f>INDEX('BDEW-H25 Tagessummen'!$C$4:$C$39, MATCH(C241&amp;"_"&amp;E241, 'BDEW-H25 Tagessummen'!$D$4:$D$39, 0))</f>
        <v>2820.5209999999993</v>
      </c>
      <c r="G241" s="69">
        <f t="shared" si="30"/>
        <v>0.82359808000000034</v>
      </c>
      <c r="H241" s="69">
        <f>Tabelle1[[#This Row],[Profilwert (kWh)]]*Tabelle1[[#This Row],[Dynamisierungsfaktor]]</f>
        <v>2322.9756801996805</v>
      </c>
      <c r="I241" s="69">
        <f>Annahmen!$B$5*(H241/SUM($H$2:$H$366))</f>
        <v>11.619902241939608</v>
      </c>
      <c r="J241" s="69">
        <f>Annahmen!$B$6</f>
        <v>130</v>
      </c>
      <c r="K241" s="69">
        <f t="shared" si="34"/>
        <v>1510.587291452149</v>
      </c>
      <c r="L241" s="69">
        <f>I241*Annahmen!$B$7</f>
        <v>8.1339315693577241</v>
      </c>
      <c r="M241" s="69">
        <f>I241*(1-Annahmen!$B$7)</f>
        <v>3.4859706725818826</v>
      </c>
      <c r="N241" s="69">
        <f>Annahmen!$B$8</f>
        <v>78</v>
      </c>
      <c r="O241" s="72">
        <f>INDEX(Quelle_SMARD_Preise_2025!$C$11:$C$375, MATCH($A241,Quelle_SMARD_Preise_2025!$A$11:$A$375, 0))</f>
        <v>115.89</v>
      </c>
      <c r="P241" s="69">
        <f t="shared" si="35"/>
        <v>634.4466624099025</v>
      </c>
      <c r="Q241" s="69">
        <f t="shared" si="36"/>
        <v>403.98914124551436</v>
      </c>
      <c r="R241" s="73">
        <f>Annahmen!$B$9</f>
        <v>0.05</v>
      </c>
      <c r="S241" s="69">
        <f t="shared" si="37"/>
        <v>0.5809951120969804</v>
      </c>
      <c r="T241" s="69">
        <f t="shared" si="38"/>
        <v>0</v>
      </c>
      <c r="U241" s="74">
        <f>$O241+Annahmen!$B$10+(T241*Annahmen!$B$11)</f>
        <v>123.89</v>
      </c>
      <c r="V241" s="74">
        <f t="shared" si="31"/>
        <v>71.979484437694907</v>
      </c>
      <c r="W241" s="74">
        <f t="shared" si="39"/>
        <v>400.17200335903721</v>
      </c>
    </row>
    <row r="242" spans="1:23" x14ac:dyDescent="0.35">
      <c r="A242" s="70">
        <v>45898</v>
      </c>
      <c r="B242" s="71" t="str">
        <f t="shared" si="32"/>
        <v>Fr</v>
      </c>
      <c r="C242" s="69">
        <f t="shared" si="33"/>
        <v>8</v>
      </c>
      <c r="D242" s="69">
        <v>241</v>
      </c>
      <c r="E242" s="69" t="str">
        <f>IF(OR(COUNTIF(Feiertage_Hessen_2025!$C$4:$C$13,A242)&gt;0,WEEKDAY(A242,2)=7),"FT",IF(WEEKDAY(A242,2)=6,"SA","WT"))</f>
        <v>WT</v>
      </c>
      <c r="F242" s="69">
        <f>INDEX('BDEW-H25 Tagessummen'!$C$4:$C$39, MATCH(C242&amp;"_"&amp;E242, 'BDEW-H25 Tagessummen'!$D$4:$D$39, 0))</f>
        <v>2820.5209999999993</v>
      </c>
      <c r="G242" s="69">
        <f t="shared" si="30"/>
        <v>0.82564671608800111</v>
      </c>
      <c r="H242" s="69">
        <f>Tabelle1[[#This Row],[Profilwert (kWh)]]*Tabelle1[[#This Row],[Dynamisierungsfaktor]]</f>
        <v>2328.7539013072442</v>
      </c>
      <c r="I242" s="69">
        <f>Annahmen!$B$5*(H242/SUM($H$2:$H$366))</f>
        <v>11.648805843890546</v>
      </c>
      <c r="J242" s="69">
        <f>Annahmen!$B$6</f>
        <v>130</v>
      </c>
      <c r="K242" s="69">
        <f t="shared" si="34"/>
        <v>1514.3447597057709</v>
      </c>
      <c r="L242" s="69">
        <f>I242*Annahmen!$B$7</f>
        <v>8.1541640907233823</v>
      </c>
      <c r="M242" s="69">
        <f>I242*(1-Annahmen!$B$7)</f>
        <v>3.4946417531671643</v>
      </c>
      <c r="N242" s="69">
        <f>Annahmen!$B$8</f>
        <v>78</v>
      </c>
      <c r="O242" s="72">
        <f>INDEX(Quelle_SMARD_Preise_2025!$C$11:$C$375, MATCH($A242,Quelle_SMARD_Preise_2025!$A$11:$A$375, 0))</f>
        <v>94.12</v>
      </c>
      <c r="P242" s="69">
        <f t="shared" si="35"/>
        <v>636.02479907642385</v>
      </c>
      <c r="Q242" s="69">
        <f t="shared" si="36"/>
        <v>328.9156818080935</v>
      </c>
      <c r="R242" s="73">
        <f>Annahmen!$B$9</f>
        <v>0.05</v>
      </c>
      <c r="S242" s="69">
        <f t="shared" si="37"/>
        <v>0.58244029219452731</v>
      </c>
      <c r="T242" s="69">
        <f t="shared" si="38"/>
        <v>0</v>
      </c>
      <c r="U242" s="74">
        <f>$O242+Annahmen!$B$10+(T242*Annahmen!$B$11)</f>
        <v>102.12</v>
      </c>
      <c r="V242" s="74">
        <f t="shared" si="31"/>
        <v>59.47880263890513</v>
      </c>
      <c r="W242" s="74">
        <f t="shared" si="39"/>
        <v>489.92547618234846</v>
      </c>
    </row>
    <row r="243" spans="1:23" x14ac:dyDescent="0.35">
      <c r="A243" s="70">
        <v>45899</v>
      </c>
      <c r="B243" s="71" t="str">
        <f t="shared" si="32"/>
        <v>Sa</v>
      </c>
      <c r="C243" s="69">
        <f t="shared" si="33"/>
        <v>8</v>
      </c>
      <c r="D243" s="69">
        <v>242</v>
      </c>
      <c r="E243" s="69" t="str">
        <f>IF(OR(COUNTIF(Feiertage_Hessen_2025!$C$4:$C$13,A243)&gt;0,WEEKDAY(A243,2)=7),"FT",IF(WEEKDAY(A243,2)=6,"SA","WT"))</f>
        <v>SA</v>
      </c>
      <c r="F243" s="69">
        <f>INDEX('BDEW-H25 Tagessummen'!$C$4:$C$39, MATCH(C243&amp;"_"&amp;E243, 'BDEW-H25 Tagessummen'!$D$4:$D$39, 0))</f>
        <v>3170.1549999999993</v>
      </c>
      <c r="G243" s="69">
        <f t="shared" si="30"/>
        <v>0.82774445836800081</v>
      </c>
      <c r="H243" s="69">
        <f>Tabelle1[[#This Row],[Profilwert (kWh)]]*Tabelle1[[#This Row],[Dynamisierungsfaktor]]</f>
        <v>2624.0782334176092</v>
      </c>
      <c r="I243" s="69">
        <f>Annahmen!$B$5*(H243/SUM($H$2:$H$366))</f>
        <v>13.126066194930281</v>
      </c>
      <c r="J243" s="69">
        <f>Annahmen!$B$6</f>
        <v>130</v>
      </c>
      <c r="K243" s="69">
        <f t="shared" si="34"/>
        <v>1706.3886053409367</v>
      </c>
      <c r="L243" s="69">
        <f>I243*Annahmen!$B$7</f>
        <v>9.188246336451197</v>
      </c>
      <c r="M243" s="69">
        <f>I243*(1-Annahmen!$B$7)</f>
        <v>3.9378198584790849</v>
      </c>
      <c r="N243" s="69">
        <f>Annahmen!$B$8</f>
        <v>78</v>
      </c>
      <c r="O243" s="72">
        <f>INDEX(Quelle_SMARD_Preise_2025!$C$11:$C$375, MATCH($A243,Quelle_SMARD_Preise_2025!$A$11:$A$375, 0))</f>
        <v>70.2</v>
      </c>
      <c r="P243" s="69">
        <f t="shared" si="35"/>
        <v>716.68321424319333</v>
      </c>
      <c r="Q243" s="69">
        <f t="shared" si="36"/>
        <v>276.43495406523175</v>
      </c>
      <c r="R243" s="73">
        <f>Annahmen!$B$9</f>
        <v>0.05</v>
      </c>
      <c r="S243" s="69">
        <f t="shared" si="37"/>
        <v>0.65630330974651407</v>
      </c>
      <c r="T243" s="69">
        <f t="shared" si="38"/>
        <v>0</v>
      </c>
      <c r="U243" s="74">
        <f>$O243+Annahmen!$B$10+(T243*Annahmen!$B$11)</f>
        <v>78.2</v>
      </c>
      <c r="V243" s="74">
        <f t="shared" si="31"/>
        <v>51.3229188221774</v>
      </c>
      <c r="W243" s="74">
        <f t="shared" si="39"/>
        <v>661.94751821033424</v>
      </c>
    </row>
    <row r="244" spans="1:23" x14ac:dyDescent="0.35">
      <c r="A244" s="70">
        <v>45900</v>
      </c>
      <c r="B244" s="71" t="str">
        <f t="shared" si="32"/>
        <v>So</v>
      </c>
      <c r="C244" s="69">
        <f t="shared" si="33"/>
        <v>8</v>
      </c>
      <c r="D244" s="69">
        <v>243</v>
      </c>
      <c r="E244" s="69" t="str">
        <f>IF(OR(COUNTIF(Feiertage_Hessen_2025!$C$4:$C$13,A244)&gt;0,WEEKDAY(A244,2)=7),"FT",IF(WEEKDAY(A244,2)=6,"SA","WT"))</f>
        <v>FT</v>
      </c>
      <c r="F244" s="69">
        <f>INDEX('BDEW-H25 Tagessummen'!$C$4:$C$39, MATCH(C244&amp;"_"&amp;E244, 'BDEW-H25 Tagessummen'!$D$4:$D$39, 0))</f>
        <v>3254.2179999999998</v>
      </c>
      <c r="G244" s="69">
        <f t="shared" si="30"/>
        <v>0.82989095480800035</v>
      </c>
      <c r="H244" s="69">
        <f>Tabelle1[[#This Row],[Profilwert (kWh)]]*Tabelle1[[#This Row],[Dynamisierungsfaktor]]</f>
        <v>2700.6460831733812</v>
      </c>
      <c r="I244" s="69">
        <f>Annahmen!$B$5*(H244/SUM($H$2:$H$366))</f>
        <v>13.509071035067528</v>
      </c>
      <c r="J244" s="69">
        <f>Annahmen!$B$6</f>
        <v>130</v>
      </c>
      <c r="K244" s="69">
        <f t="shared" si="34"/>
        <v>1756.1792345587787</v>
      </c>
      <c r="L244" s="69">
        <f>I244*Annahmen!$B$7</f>
        <v>9.4563497245472696</v>
      </c>
      <c r="M244" s="69">
        <f>I244*(1-Annahmen!$B$7)</f>
        <v>4.0527213105202593</v>
      </c>
      <c r="N244" s="69">
        <f>Annahmen!$B$8</f>
        <v>78</v>
      </c>
      <c r="O244" s="72">
        <f>INDEX(Quelle_SMARD_Preise_2025!$C$11:$C$375, MATCH($A244,Quelle_SMARD_Preise_2025!$A$11:$A$375, 0))</f>
        <v>57.62</v>
      </c>
      <c r="P244" s="69">
        <f t="shared" si="35"/>
        <v>737.59527851468704</v>
      </c>
      <c r="Q244" s="69">
        <f t="shared" si="36"/>
        <v>233.51780191217733</v>
      </c>
      <c r="R244" s="73">
        <f>Annahmen!$B$9</f>
        <v>0.05</v>
      </c>
      <c r="S244" s="69">
        <f t="shared" si="37"/>
        <v>0.6754535517533764</v>
      </c>
      <c r="T244" s="69">
        <f t="shared" si="38"/>
        <v>0</v>
      </c>
      <c r="U244" s="74">
        <f>$O244+Annahmen!$B$10+(T244*Annahmen!$B$11)</f>
        <v>65.62</v>
      </c>
      <c r="V244" s="74">
        <f t="shared" si="31"/>
        <v>44.323262066056564</v>
      </c>
      <c r="W244" s="74">
        <f t="shared" si="39"/>
        <v>740.74289206585775</v>
      </c>
    </row>
    <row r="245" spans="1:23" x14ac:dyDescent="0.35">
      <c r="A245" s="70">
        <v>45901</v>
      </c>
      <c r="B245" s="71" t="str">
        <f t="shared" si="32"/>
        <v>Mo</v>
      </c>
      <c r="C245" s="69">
        <f t="shared" si="33"/>
        <v>9</v>
      </c>
      <c r="D245" s="69">
        <v>244</v>
      </c>
      <c r="E245" s="69" t="str">
        <f>IF(OR(COUNTIF(Feiertage_Hessen_2025!$C$4:$C$13,A245)&gt;0,WEEKDAY(A245,2)=7),"FT",IF(WEEKDAY(A245,2)=6,"SA","WT"))</f>
        <v>WT</v>
      </c>
      <c r="F245" s="69">
        <f>INDEX('BDEW-H25 Tagessummen'!$C$4:$C$39, MATCH(C245&amp;"_"&amp;E245, 'BDEW-H25 Tagessummen'!$D$4:$D$39, 0))</f>
        <v>2656.0739999999996</v>
      </c>
      <c r="G245" s="69">
        <f t="shared" si="30"/>
        <v>0.83208584396800001</v>
      </c>
      <c r="H245" s="69">
        <f>Tabelle1[[#This Row],[Profilwert (kWh)]]*Tabelle1[[#This Row],[Dynamisierungsfaktor]]</f>
        <v>2210.0815759314614</v>
      </c>
      <c r="I245" s="69">
        <f>Annahmen!$B$5*(H245/SUM($H$2:$H$366))</f>
        <v>11.055187567365278</v>
      </c>
      <c r="J245" s="69">
        <f>Annahmen!$B$6</f>
        <v>130</v>
      </c>
      <c r="K245" s="69">
        <f t="shared" si="34"/>
        <v>1437.1743837574861</v>
      </c>
      <c r="L245" s="69">
        <f>I245*Annahmen!$B$7</f>
        <v>7.7386312971556945</v>
      </c>
      <c r="M245" s="69">
        <f>I245*(1-Annahmen!$B$7)</f>
        <v>3.3165562702095839</v>
      </c>
      <c r="N245" s="69">
        <f>Annahmen!$B$8</f>
        <v>78</v>
      </c>
      <c r="O245" s="72">
        <f>INDEX(Quelle_SMARD_Preise_2025!$C$11:$C$375, MATCH($A245,Quelle_SMARD_Preise_2025!$A$11:$A$375, 0))</f>
        <v>101.46</v>
      </c>
      <c r="P245" s="69">
        <f t="shared" si="35"/>
        <v>603.61324117814422</v>
      </c>
      <c r="Q245" s="69">
        <f t="shared" si="36"/>
        <v>336.49779917546437</v>
      </c>
      <c r="R245" s="73">
        <f>Annahmen!$B$9</f>
        <v>0.05</v>
      </c>
      <c r="S245" s="69">
        <f t="shared" si="37"/>
        <v>0.55275937836826394</v>
      </c>
      <c r="T245" s="69">
        <f t="shared" si="38"/>
        <v>1</v>
      </c>
      <c r="U245" s="74">
        <f>$O245+Annahmen!$B$10+(T245*Annahmen!$B$11)</f>
        <v>229.45999999999998</v>
      </c>
      <c r="V245" s="74">
        <f t="shared" si="31"/>
        <v>126.83616696038183</v>
      </c>
      <c r="W245" s="74">
        <f t="shared" si="39"/>
        <v>370.22717644349569</v>
      </c>
    </row>
    <row r="246" spans="1:23" x14ac:dyDescent="0.35">
      <c r="A246" s="70">
        <v>45902</v>
      </c>
      <c r="B246" s="71" t="str">
        <f t="shared" si="32"/>
        <v>Di</v>
      </c>
      <c r="C246" s="69">
        <f t="shared" si="33"/>
        <v>9</v>
      </c>
      <c r="D246" s="69">
        <v>245</v>
      </c>
      <c r="E246" s="69" t="str">
        <f>IF(OR(COUNTIF(Feiertage_Hessen_2025!$C$4:$C$13,A246)&gt;0,WEEKDAY(A246,2)=7),"FT",IF(WEEKDAY(A246,2)=6,"SA","WT"))</f>
        <v>WT</v>
      </c>
      <c r="F246" s="69">
        <f>INDEX('BDEW-H25 Tagessummen'!$C$4:$C$39, MATCH(C246&amp;"_"&amp;E246, 'BDEW-H25 Tagessummen'!$D$4:$D$39, 0))</f>
        <v>2656.0739999999996</v>
      </c>
      <c r="G246" s="69">
        <f t="shared" si="30"/>
        <v>0.83432875500000037</v>
      </c>
      <c r="H246" s="69">
        <f>Tabelle1[[#This Row],[Profilwert (kWh)]]*Tabelle1[[#This Row],[Dynamisierungsfaktor]]</f>
        <v>2216.0389136078707</v>
      </c>
      <c r="I246" s="69">
        <f>Annahmen!$B$5*(H246/SUM($H$2:$H$366))</f>
        <v>11.084987139531332</v>
      </c>
      <c r="J246" s="69">
        <f>Annahmen!$B$6</f>
        <v>130</v>
      </c>
      <c r="K246" s="69">
        <f t="shared" si="34"/>
        <v>1441.0483281390732</v>
      </c>
      <c r="L246" s="69">
        <f>I246*Annahmen!$B$7</f>
        <v>7.7594909976719322</v>
      </c>
      <c r="M246" s="69">
        <f>I246*(1-Annahmen!$B$7)</f>
        <v>3.3254961418594</v>
      </c>
      <c r="N246" s="69">
        <f>Annahmen!$B$8</f>
        <v>78</v>
      </c>
      <c r="O246" s="72">
        <f>INDEX(Quelle_SMARD_Preise_2025!$C$11:$C$375, MATCH($A246,Quelle_SMARD_Preise_2025!$A$11:$A$375, 0))</f>
        <v>122.09</v>
      </c>
      <c r="P246" s="69">
        <f t="shared" si="35"/>
        <v>605.24029781841068</v>
      </c>
      <c r="Q246" s="69">
        <f t="shared" si="36"/>
        <v>406.00982395961415</v>
      </c>
      <c r="R246" s="73">
        <f>Annahmen!$B$9</f>
        <v>0.05</v>
      </c>
      <c r="S246" s="69">
        <f t="shared" si="37"/>
        <v>0.55424935697656663</v>
      </c>
      <c r="T246" s="69">
        <f t="shared" si="38"/>
        <v>1</v>
      </c>
      <c r="U246" s="74">
        <f>$O246+Annahmen!$B$10+(T246*Annahmen!$B$11)</f>
        <v>250.09</v>
      </c>
      <c r="V246" s="74">
        <f t="shared" si="31"/>
        <v>138.61222168626955</v>
      </c>
      <c r="W246" s="74">
        <f t="shared" si="39"/>
        <v>291.18598467477881</v>
      </c>
    </row>
    <row r="247" spans="1:23" x14ac:dyDescent="0.35">
      <c r="A247" s="70">
        <v>45903</v>
      </c>
      <c r="B247" s="71" t="str">
        <f t="shared" si="32"/>
        <v>Mi</v>
      </c>
      <c r="C247" s="69">
        <f t="shared" si="33"/>
        <v>9</v>
      </c>
      <c r="D247" s="69">
        <v>246</v>
      </c>
      <c r="E247" s="69" t="str">
        <f>IF(OR(COUNTIF(Feiertage_Hessen_2025!$C$4:$C$13,A247)&gt;0,WEEKDAY(A247,2)=7),"FT",IF(WEEKDAY(A247,2)=6,"SA","WT"))</f>
        <v>WT</v>
      </c>
      <c r="F247" s="69">
        <f>INDEX('BDEW-H25 Tagessummen'!$C$4:$C$39, MATCH(C247&amp;"_"&amp;E247, 'BDEW-H25 Tagessummen'!$D$4:$D$39, 0))</f>
        <v>2656.0739999999996</v>
      </c>
      <c r="G247" s="69">
        <f t="shared" si="30"/>
        <v>0.83661930764800052</v>
      </c>
      <c r="H247" s="69">
        <f>Tabelle1[[#This Row],[Profilwert (kWh)]]*Tabelle1[[#This Row],[Dynamisierungsfaktor]]</f>
        <v>2222.1227909418549</v>
      </c>
      <c r="I247" s="69">
        <f>Annahmen!$B$5*(H247/SUM($H$2:$H$366))</f>
        <v>11.115419683649391</v>
      </c>
      <c r="J247" s="69">
        <f>Annahmen!$B$6</f>
        <v>130</v>
      </c>
      <c r="K247" s="69">
        <f t="shared" si="34"/>
        <v>1445.0045588744208</v>
      </c>
      <c r="L247" s="69">
        <f>I247*Annahmen!$B$7</f>
        <v>7.7807937785545729</v>
      </c>
      <c r="M247" s="69">
        <f>I247*(1-Annahmen!$B$7)</f>
        <v>3.3346259050948177</v>
      </c>
      <c r="N247" s="69">
        <f>Annahmen!$B$8</f>
        <v>78</v>
      </c>
      <c r="O247" s="72">
        <f>INDEX(Quelle_SMARD_Preise_2025!$C$11:$C$375, MATCH($A247,Quelle_SMARD_Preise_2025!$A$11:$A$375, 0))</f>
        <v>65.67</v>
      </c>
      <c r="P247" s="69">
        <f t="shared" si="35"/>
        <v>606.90191472725667</v>
      </c>
      <c r="Q247" s="69">
        <f t="shared" si="36"/>
        <v>218.98488318757668</v>
      </c>
      <c r="R247" s="73">
        <f>Annahmen!$B$9</f>
        <v>0.05</v>
      </c>
      <c r="S247" s="69">
        <f t="shared" si="37"/>
        <v>0.55577098418246951</v>
      </c>
      <c r="T247" s="69">
        <f t="shared" si="38"/>
        <v>1</v>
      </c>
      <c r="U247" s="74">
        <f>$O247+Annahmen!$B$10+(T247*Annahmen!$B$11)</f>
        <v>193.67000000000002</v>
      </c>
      <c r="V247" s="74">
        <f t="shared" si="31"/>
        <v>107.63616650661888</v>
      </c>
      <c r="W247" s="74">
        <f t="shared" si="39"/>
        <v>511.48159445296858</v>
      </c>
    </row>
    <row r="248" spans="1:23" x14ac:dyDescent="0.35">
      <c r="A248" s="70">
        <v>45904</v>
      </c>
      <c r="B248" s="71" t="str">
        <f t="shared" si="32"/>
        <v>Do</v>
      </c>
      <c r="C248" s="69">
        <f t="shared" si="33"/>
        <v>9</v>
      </c>
      <c r="D248" s="69">
        <v>247</v>
      </c>
      <c r="E248" s="69" t="str">
        <f>IF(OR(COUNTIF(Feiertage_Hessen_2025!$C$4:$C$13,A248)&gt;0,WEEKDAY(A248,2)=7),"FT",IF(WEEKDAY(A248,2)=6,"SA","WT"))</f>
        <v>WT</v>
      </c>
      <c r="F248" s="69">
        <f>INDEX('BDEW-H25 Tagessummen'!$C$4:$C$39, MATCH(C248&amp;"_"&amp;E248, 'BDEW-H25 Tagessummen'!$D$4:$D$39, 0))</f>
        <v>2656.0739999999996</v>
      </c>
      <c r="G248" s="69">
        <f t="shared" si="30"/>
        <v>0.83895711224799985</v>
      </c>
      <c r="H248" s="69">
        <f>Tabelle1[[#This Row],[Profilwert (kWh)]]*Tabelle1[[#This Row],[Dynamisierungsfaktor]]</f>
        <v>2228.3321729569934</v>
      </c>
      <c r="I248" s="69">
        <f>Annahmen!$B$5*(H248/SUM($H$2:$H$366))</f>
        <v>11.146480022599027</v>
      </c>
      <c r="J248" s="69">
        <f>Annahmen!$B$6</f>
        <v>130</v>
      </c>
      <c r="K248" s="69">
        <f t="shared" si="34"/>
        <v>1449.0424029378735</v>
      </c>
      <c r="L248" s="69">
        <f>I248*Annahmen!$B$7</f>
        <v>7.8025360158193182</v>
      </c>
      <c r="M248" s="69">
        <f>I248*(1-Annahmen!$B$7)</f>
        <v>3.3439440067797088</v>
      </c>
      <c r="N248" s="69">
        <f>Annahmen!$B$8</f>
        <v>78</v>
      </c>
      <c r="O248" s="72">
        <f>INDEX(Quelle_SMARD_Preise_2025!$C$11:$C$375, MATCH($A248,Quelle_SMARD_Preise_2025!$A$11:$A$375, 0))</f>
        <v>87.61</v>
      </c>
      <c r="P248" s="69">
        <f t="shared" si="35"/>
        <v>608.59780923390679</v>
      </c>
      <c r="Q248" s="69">
        <f t="shared" si="36"/>
        <v>292.9629344339703</v>
      </c>
      <c r="R248" s="73">
        <f>Annahmen!$B$9</f>
        <v>0.05</v>
      </c>
      <c r="S248" s="69">
        <f t="shared" si="37"/>
        <v>0.5573240011299514</v>
      </c>
      <c r="T248" s="69">
        <f t="shared" si="38"/>
        <v>1</v>
      </c>
      <c r="U248" s="74">
        <f>$O248+Annahmen!$B$10+(T248*Annahmen!$B$11)</f>
        <v>215.61</v>
      </c>
      <c r="V248" s="74">
        <f t="shared" si="31"/>
        <v>120.16462788362882</v>
      </c>
      <c r="W248" s="74">
        <f t="shared" si="39"/>
        <v>427.31703138636755</v>
      </c>
    </row>
    <row r="249" spans="1:23" x14ac:dyDescent="0.35">
      <c r="A249" s="70">
        <v>45905</v>
      </c>
      <c r="B249" s="71" t="str">
        <f t="shared" si="32"/>
        <v>Fr</v>
      </c>
      <c r="C249" s="69">
        <f t="shared" si="33"/>
        <v>9</v>
      </c>
      <c r="D249" s="69">
        <v>248</v>
      </c>
      <c r="E249" s="69" t="str">
        <f>IF(OR(COUNTIF(Feiertage_Hessen_2025!$C$4:$C$13,A249)&gt;0,WEEKDAY(A249,2)=7),"FT",IF(WEEKDAY(A249,2)=6,"SA","WT"))</f>
        <v>WT</v>
      </c>
      <c r="F249" s="69">
        <f>INDEX('BDEW-H25 Tagessummen'!$C$4:$C$39, MATCH(C249&amp;"_"&amp;E249, 'BDEW-H25 Tagessummen'!$D$4:$D$39, 0))</f>
        <v>2656.0739999999996</v>
      </c>
      <c r="G249" s="69">
        <f t="shared" si="30"/>
        <v>0.84134176972800068</v>
      </c>
      <c r="H249" s="69">
        <f>Tabelle1[[#This Row],[Profilwert (kWh)]]*Tabelle1[[#This Row],[Dynamisierungsfaktor]]</f>
        <v>2234.6659996885292</v>
      </c>
      <c r="I249" s="69">
        <f>Annahmen!$B$5*(H249/SUM($H$2:$H$366))</f>
        <v>11.178162854264102</v>
      </c>
      <c r="J249" s="69">
        <f>Annahmen!$B$6</f>
        <v>130</v>
      </c>
      <c r="K249" s="69">
        <f t="shared" si="34"/>
        <v>1453.1611710543332</v>
      </c>
      <c r="L249" s="69">
        <f>I249*Annahmen!$B$7</f>
        <v>7.8247139979848708</v>
      </c>
      <c r="M249" s="69">
        <f>I249*(1-Annahmen!$B$7)</f>
        <v>3.3534488562792308</v>
      </c>
      <c r="N249" s="69">
        <f>Annahmen!$B$8</f>
        <v>78</v>
      </c>
      <c r="O249" s="72">
        <f>INDEX(Quelle_SMARD_Preise_2025!$C$11:$C$375, MATCH($A249,Quelle_SMARD_Preise_2025!$A$11:$A$375, 0))</f>
        <v>99.92</v>
      </c>
      <c r="P249" s="69">
        <f t="shared" si="35"/>
        <v>610.32769184281995</v>
      </c>
      <c r="Q249" s="69">
        <f t="shared" si="36"/>
        <v>335.07660971942073</v>
      </c>
      <c r="R249" s="73">
        <f>Annahmen!$B$9</f>
        <v>0.05</v>
      </c>
      <c r="S249" s="69">
        <f t="shared" si="37"/>
        <v>0.5589081427132051</v>
      </c>
      <c r="T249" s="69">
        <f t="shared" si="38"/>
        <v>1</v>
      </c>
      <c r="U249" s="74">
        <f>$O249+Annahmen!$B$10+(T249*Annahmen!$B$11)</f>
        <v>227.92000000000002</v>
      </c>
      <c r="V249" s="74">
        <f t="shared" si="31"/>
        <v>127.38634388719372</v>
      </c>
      <c r="W249" s="74">
        <f t="shared" si="39"/>
        <v>380.37052560489877</v>
      </c>
    </row>
    <row r="250" spans="1:23" x14ac:dyDescent="0.35">
      <c r="A250" s="70">
        <v>45906</v>
      </c>
      <c r="B250" s="71" t="str">
        <f t="shared" si="32"/>
        <v>Sa</v>
      </c>
      <c r="C250" s="69">
        <f t="shared" si="33"/>
        <v>9</v>
      </c>
      <c r="D250" s="69">
        <v>249</v>
      </c>
      <c r="E250" s="69" t="str">
        <f>IF(OR(COUNTIF(Feiertage_Hessen_2025!$C$4:$C$13,A250)&gt;0,WEEKDAY(A250,2)=7),"FT",IF(WEEKDAY(A250,2)=6,"SA","WT"))</f>
        <v>SA</v>
      </c>
      <c r="F250" s="69">
        <f>INDEX('BDEW-H25 Tagessummen'!$C$4:$C$39, MATCH(C250&amp;"_"&amp;E250, 'BDEW-H25 Tagessummen'!$D$4:$D$39, 0))</f>
        <v>3040.3609999999994</v>
      </c>
      <c r="G250" s="69">
        <f t="shared" si="30"/>
        <v>0.8437728716080003</v>
      </c>
      <c r="H250" s="69">
        <f>Tabelle1[[#This Row],[Profilwert (kWh)]]*Tabelle1[[#This Row],[Dynamisierungsfaktor]]</f>
        <v>2565.3741316949709</v>
      </c>
      <c r="I250" s="69">
        <f>Annahmen!$B$5*(H250/SUM($H$2:$H$366))</f>
        <v>12.832418728436227</v>
      </c>
      <c r="J250" s="69">
        <f>Annahmen!$B$6</f>
        <v>130</v>
      </c>
      <c r="K250" s="69">
        <f t="shared" si="34"/>
        <v>1668.2144346967095</v>
      </c>
      <c r="L250" s="69">
        <f>I250*Annahmen!$B$7</f>
        <v>8.9826931099053589</v>
      </c>
      <c r="M250" s="69">
        <f>I250*(1-Annahmen!$B$7)</f>
        <v>3.8497256185308686</v>
      </c>
      <c r="N250" s="69">
        <f>Annahmen!$B$8</f>
        <v>78</v>
      </c>
      <c r="O250" s="72">
        <f>INDEX(Quelle_SMARD_Preise_2025!$C$11:$C$375, MATCH($A250,Quelle_SMARD_Preise_2025!$A$11:$A$375, 0))</f>
        <v>75.45</v>
      </c>
      <c r="P250" s="69">
        <f t="shared" si="35"/>
        <v>700.65006257261803</v>
      </c>
      <c r="Q250" s="69">
        <f t="shared" si="36"/>
        <v>290.46179791815405</v>
      </c>
      <c r="R250" s="73">
        <f>Annahmen!$B$9</f>
        <v>0.05</v>
      </c>
      <c r="S250" s="69">
        <f t="shared" si="37"/>
        <v>0.64162093642181139</v>
      </c>
      <c r="T250" s="69">
        <f t="shared" si="38"/>
        <v>0</v>
      </c>
      <c r="U250" s="74">
        <f>$O250+Annahmen!$B$10+(T250*Annahmen!$B$11)</f>
        <v>83.45</v>
      </c>
      <c r="V250" s="74">
        <f t="shared" si="31"/>
        <v>53.543267144400161</v>
      </c>
      <c r="W250" s="74">
        <f t="shared" si="39"/>
        <v>623.55930706153731</v>
      </c>
    </row>
    <row r="251" spans="1:23" x14ac:dyDescent="0.35">
      <c r="A251" s="70">
        <v>45907</v>
      </c>
      <c r="B251" s="71" t="str">
        <f t="shared" si="32"/>
        <v>So</v>
      </c>
      <c r="C251" s="69">
        <f t="shared" si="33"/>
        <v>9</v>
      </c>
      <c r="D251" s="69">
        <v>250</v>
      </c>
      <c r="E251" s="69" t="str">
        <f>IF(OR(COUNTIF(Feiertage_Hessen_2025!$C$4:$C$13,A251)&gt;0,WEEKDAY(A251,2)=7),"FT",IF(WEEKDAY(A251,2)=6,"SA","WT"))</f>
        <v>FT</v>
      </c>
      <c r="F251" s="69">
        <f>INDEX('BDEW-H25 Tagessummen'!$C$4:$C$39, MATCH(C251&amp;"_"&amp;E251, 'BDEW-H25 Tagessummen'!$D$4:$D$39, 0))</f>
        <v>3190.4380000000001</v>
      </c>
      <c r="G251" s="69">
        <f t="shared" si="30"/>
        <v>0.84624999999999984</v>
      </c>
      <c r="H251" s="69">
        <f>Tabelle1[[#This Row],[Profilwert (kWh)]]*Tabelle1[[#This Row],[Dynamisierungsfaktor]]</f>
        <v>2699.9081574999996</v>
      </c>
      <c r="I251" s="69">
        <f>Annahmen!$B$5*(H251/SUM($H$2:$H$366))</f>
        <v>13.505379810807369</v>
      </c>
      <c r="J251" s="69">
        <f>Annahmen!$B$6</f>
        <v>130</v>
      </c>
      <c r="K251" s="69">
        <f t="shared" si="34"/>
        <v>1755.6993754049581</v>
      </c>
      <c r="L251" s="69">
        <f>I251*Annahmen!$B$7</f>
        <v>9.4537658675651581</v>
      </c>
      <c r="M251" s="69">
        <f>I251*(1-Annahmen!$B$7)</f>
        <v>4.0516139432422111</v>
      </c>
      <c r="N251" s="69">
        <f>Annahmen!$B$8</f>
        <v>78</v>
      </c>
      <c r="O251" s="72">
        <f>INDEX(Quelle_SMARD_Preise_2025!$C$11:$C$375, MATCH($A251,Quelle_SMARD_Preise_2025!$A$11:$A$375, 0))</f>
        <v>42.13</v>
      </c>
      <c r="P251" s="69">
        <f t="shared" si="35"/>
        <v>737.39373767008237</v>
      </c>
      <c r="Q251" s="69">
        <f t="shared" si="36"/>
        <v>170.69449542879437</v>
      </c>
      <c r="R251" s="73">
        <f>Annahmen!$B$9</f>
        <v>0.05</v>
      </c>
      <c r="S251" s="69">
        <f t="shared" si="37"/>
        <v>0.67526899054036849</v>
      </c>
      <c r="T251" s="69">
        <f t="shared" si="38"/>
        <v>0</v>
      </c>
      <c r="U251" s="74">
        <f>$O251+Annahmen!$B$10+(T251*Annahmen!$B$11)</f>
        <v>50.13</v>
      </c>
      <c r="V251" s="74">
        <f t="shared" si="31"/>
        <v>33.851234495788674</v>
      </c>
      <c r="W251" s="74">
        <f t="shared" si="39"/>
        <v>813.75990781029259</v>
      </c>
    </row>
    <row r="252" spans="1:23" x14ac:dyDescent="0.35">
      <c r="A252" s="70">
        <v>45908</v>
      </c>
      <c r="B252" s="71" t="str">
        <f t="shared" si="32"/>
        <v>Mo</v>
      </c>
      <c r="C252" s="69">
        <f t="shared" si="33"/>
        <v>9</v>
      </c>
      <c r="D252" s="69">
        <v>251</v>
      </c>
      <c r="E252" s="69" t="str">
        <f>IF(OR(COUNTIF(Feiertage_Hessen_2025!$C$4:$C$13,A252)&gt;0,WEEKDAY(A252,2)=7),"FT",IF(WEEKDAY(A252,2)=6,"SA","WT"))</f>
        <v>WT</v>
      </c>
      <c r="F252" s="69">
        <f>INDEX('BDEW-H25 Tagessummen'!$C$4:$C$39, MATCH(C252&amp;"_"&amp;E252, 'BDEW-H25 Tagessummen'!$D$4:$D$39, 0))</f>
        <v>2656.0739999999996</v>
      </c>
      <c r="G252" s="69">
        <f t="shared" si="30"/>
        <v>0.84877272760800082</v>
      </c>
      <c r="H252" s="69">
        <f>Tabelle1[[#This Row],[Profilwert (kWh)]]*Tabelle1[[#This Row],[Dynamisierungsfaktor]]</f>
        <v>2254.403173708693</v>
      </c>
      <c r="I252" s="69">
        <f>Annahmen!$B$5*(H252/SUM($H$2:$H$366))</f>
        <v>11.276891409453599</v>
      </c>
      <c r="J252" s="69">
        <f>Annahmen!$B$6</f>
        <v>130</v>
      </c>
      <c r="K252" s="69">
        <f t="shared" si="34"/>
        <v>1465.9958832289678</v>
      </c>
      <c r="L252" s="69">
        <f>I252*Annahmen!$B$7</f>
        <v>7.8938239866175186</v>
      </c>
      <c r="M252" s="69">
        <f>I252*(1-Annahmen!$B$7)</f>
        <v>3.3830674228360804</v>
      </c>
      <c r="N252" s="69">
        <f>Annahmen!$B$8</f>
        <v>78</v>
      </c>
      <c r="O252" s="72">
        <f>INDEX(Quelle_SMARD_Preise_2025!$C$11:$C$375, MATCH($A252,Quelle_SMARD_Preise_2025!$A$11:$A$375, 0))</f>
        <v>123.56</v>
      </c>
      <c r="P252" s="69">
        <f t="shared" si="35"/>
        <v>615.71827095616641</v>
      </c>
      <c r="Q252" s="69">
        <f t="shared" si="36"/>
        <v>418.01181076562608</v>
      </c>
      <c r="R252" s="73">
        <f>Annahmen!$B$9</f>
        <v>0.05</v>
      </c>
      <c r="S252" s="69">
        <f t="shared" si="37"/>
        <v>0.56384457047268</v>
      </c>
      <c r="T252" s="69">
        <f t="shared" si="38"/>
        <v>0</v>
      </c>
      <c r="U252" s="74">
        <f>$O252+Annahmen!$B$10+(T252*Annahmen!$B$11)</f>
        <v>131.56</v>
      </c>
      <c r="V252" s="74">
        <f t="shared" si="31"/>
        <v>74.179391691385788</v>
      </c>
      <c r="W252" s="74">
        <f t="shared" si="39"/>
        <v>358.08640981578958</v>
      </c>
    </row>
    <row r="253" spans="1:23" x14ac:dyDescent="0.35">
      <c r="A253" s="70">
        <v>45909</v>
      </c>
      <c r="B253" s="71" t="str">
        <f t="shared" si="32"/>
        <v>Di</v>
      </c>
      <c r="C253" s="69">
        <f t="shared" si="33"/>
        <v>9</v>
      </c>
      <c r="D253" s="69">
        <v>252</v>
      </c>
      <c r="E253" s="69" t="str">
        <f>IF(OR(COUNTIF(Feiertage_Hessen_2025!$C$4:$C$13,A253)&gt;0,WEEKDAY(A253,2)=7),"FT",IF(WEEKDAY(A253,2)=6,"SA","WT"))</f>
        <v>WT</v>
      </c>
      <c r="F253" s="69">
        <f>INDEX('BDEW-H25 Tagessummen'!$C$4:$C$39, MATCH(C253&amp;"_"&amp;E253, 'BDEW-H25 Tagessummen'!$D$4:$D$39, 0))</f>
        <v>2656.0739999999996</v>
      </c>
      <c r="G253" s="69">
        <f t="shared" si="30"/>
        <v>0.85134061772800029</v>
      </c>
      <c r="H253" s="69">
        <f>Tabelle1[[#This Row],[Profilwert (kWh)]]*Tabelle1[[#This Row],[Dynamisierungsfaktor]]</f>
        <v>2261.2236798912804</v>
      </c>
      <c r="I253" s="69">
        <f>Annahmen!$B$5*(H253/SUM($H$2:$H$366))</f>
        <v>11.311008690903313</v>
      </c>
      <c r="J253" s="69">
        <f>Annahmen!$B$6</f>
        <v>130</v>
      </c>
      <c r="K253" s="69">
        <f t="shared" si="34"/>
        <v>1470.4311298174307</v>
      </c>
      <c r="L253" s="69">
        <f>I253*Annahmen!$B$7</f>
        <v>7.9177060836323179</v>
      </c>
      <c r="M253" s="69">
        <f>I253*(1-Annahmen!$B$7)</f>
        <v>3.3933026072709942</v>
      </c>
      <c r="N253" s="69">
        <f>Annahmen!$B$8</f>
        <v>78</v>
      </c>
      <c r="O253" s="72">
        <f>INDEX(Quelle_SMARD_Preise_2025!$C$11:$C$375, MATCH($A253,Quelle_SMARD_Preise_2025!$A$11:$A$375, 0))</f>
        <v>142.44999999999999</v>
      </c>
      <c r="P253" s="69">
        <f t="shared" si="35"/>
        <v>617.58107452332081</v>
      </c>
      <c r="Q253" s="69">
        <f t="shared" si="36"/>
        <v>483.37595640575307</v>
      </c>
      <c r="R253" s="73">
        <f>Annahmen!$B$9</f>
        <v>0.05</v>
      </c>
      <c r="S253" s="69">
        <f t="shared" si="37"/>
        <v>0.56555043454516563</v>
      </c>
      <c r="T253" s="69">
        <f t="shared" si="38"/>
        <v>0</v>
      </c>
      <c r="U253" s="74">
        <f>$O253+Annahmen!$B$10+(T253*Annahmen!$B$11)</f>
        <v>150.44999999999999</v>
      </c>
      <c r="V253" s="74">
        <f t="shared" si="31"/>
        <v>85.087062877320164</v>
      </c>
      <c r="W253" s="74">
        <f t="shared" si="39"/>
        <v>284.38703601103668</v>
      </c>
    </row>
    <row r="254" spans="1:23" x14ac:dyDescent="0.35">
      <c r="A254" s="70">
        <v>45910</v>
      </c>
      <c r="B254" s="71" t="str">
        <f t="shared" si="32"/>
        <v>Mi</v>
      </c>
      <c r="C254" s="69">
        <f t="shared" si="33"/>
        <v>9</v>
      </c>
      <c r="D254" s="69">
        <v>253</v>
      </c>
      <c r="E254" s="69" t="str">
        <f>IF(OR(COUNTIF(Feiertage_Hessen_2025!$C$4:$C$13,A254)&gt;0,WEEKDAY(A254,2)=7),"FT",IF(WEEKDAY(A254,2)=6,"SA","WT"))</f>
        <v>WT</v>
      </c>
      <c r="F254" s="69">
        <f>INDEX('BDEW-H25 Tagessummen'!$C$4:$C$39, MATCH(C254&amp;"_"&amp;E254, 'BDEW-H25 Tagessummen'!$D$4:$D$39, 0))</f>
        <v>2656.0739999999996</v>
      </c>
      <c r="G254" s="69">
        <f t="shared" si="30"/>
        <v>0.8539532242480008</v>
      </c>
      <c r="H254" s="69">
        <f>Tabelle1[[#This Row],[Profilwert (kWh)]]*Tabelle1[[#This Row],[Dynamisierungsfaktor]]</f>
        <v>2268.1629561412842</v>
      </c>
      <c r="I254" s="69">
        <f>Annahmen!$B$5*(H254/SUM($H$2:$H$366))</f>
        <v>11.345720079551137</v>
      </c>
      <c r="J254" s="69">
        <f>Annahmen!$B$6</f>
        <v>130</v>
      </c>
      <c r="K254" s="69">
        <f t="shared" si="34"/>
        <v>1474.9436103416479</v>
      </c>
      <c r="L254" s="69">
        <f>I254*Annahmen!$B$7</f>
        <v>7.9420040556857954</v>
      </c>
      <c r="M254" s="69">
        <f>I254*(1-Annahmen!$B$7)</f>
        <v>3.4037160238653419</v>
      </c>
      <c r="N254" s="69">
        <f>Annahmen!$B$8</f>
        <v>78</v>
      </c>
      <c r="O254" s="72">
        <f>INDEX(Quelle_SMARD_Preise_2025!$C$11:$C$375, MATCH($A254,Quelle_SMARD_Preise_2025!$A$11:$A$375, 0))</f>
        <v>125.95</v>
      </c>
      <c r="P254" s="69">
        <f t="shared" si="35"/>
        <v>619.47631634349204</v>
      </c>
      <c r="Q254" s="69">
        <f t="shared" si="36"/>
        <v>428.69803320583981</v>
      </c>
      <c r="R254" s="73">
        <f>Annahmen!$B$9</f>
        <v>0.05</v>
      </c>
      <c r="S254" s="69">
        <f t="shared" si="37"/>
        <v>0.56728600397755691</v>
      </c>
      <c r="T254" s="69">
        <f t="shared" si="38"/>
        <v>0</v>
      </c>
      <c r="U254" s="74">
        <f>$O254+Annahmen!$B$10+(T254*Annahmen!$B$11)</f>
        <v>133.94999999999999</v>
      </c>
      <c r="V254" s="74">
        <f t="shared" si="31"/>
        <v>75.987960232793739</v>
      </c>
      <c r="W254" s="74">
        <f t="shared" si="39"/>
        <v>350.78130055952226</v>
      </c>
    </row>
    <row r="255" spans="1:23" x14ac:dyDescent="0.35">
      <c r="A255" s="70">
        <v>45911</v>
      </c>
      <c r="B255" s="71" t="str">
        <f t="shared" si="32"/>
        <v>Do</v>
      </c>
      <c r="C255" s="69">
        <f t="shared" si="33"/>
        <v>9</v>
      </c>
      <c r="D255" s="69">
        <v>254</v>
      </c>
      <c r="E255" s="69" t="str">
        <f>IF(OR(COUNTIF(Feiertage_Hessen_2025!$C$4:$C$13,A255)&gt;0,WEEKDAY(A255,2)=7),"FT",IF(WEEKDAY(A255,2)=6,"SA","WT"))</f>
        <v>WT</v>
      </c>
      <c r="F255" s="69">
        <f>INDEX('BDEW-H25 Tagessummen'!$C$4:$C$39, MATCH(C255&amp;"_"&amp;E255, 'BDEW-H25 Tagessummen'!$D$4:$D$39, 0))</f>
        <v>2656.0739999999996</v>
      </c>
      <c r="G255" s="69">
        <f t="shared" si="30"/>
        <v>0.85661009164800062</v>
      </c>
      <c r="H255" s="69">
        <f>Tabelle1[[#This Row],[Profilwert (kWh)]]*Tabelle1[[#This Row],[Dynamisierungsfaktor]]</f>
        <v>2275.2197925638711</v>
      </c>
      <c r="I255" s="69">
        <f>Annahmen!$B$5*(H255/SUM($H$2:$H$366))</f>
        <v>11.3810195233063</v>
      </c>
      <c r="J255" s="69">
        <f>Annahmen!$B$6</f>
        <v>130</v>
      </c>
      <c r="K255" s="69">
        <f t="shared" si="34"/>
        <v>1479.5325380298191</v>
      </c>
      <c r="L255" s="69">
        <f>I255*Annahmen!$B$7</f>
        <v>7.9667136663144094</v>
      </c>
      <c r="M255" s="69">
        <f>I255*(1-Annahmen!$B$7)</f>
        <v>3.4143058569918905</v>
      </c>
      <c r="N255" s="69">
        <f>Annahmen!$B$8</f>
        <v>78</v>
      </c>
      <c r="O255" s="72">
        <f>INDEX(Quelle_SMARD_Preise_2025!$C$11:$C$375, MATCH($A255,Quelle_SMARD_Preise_2025!$A$11:$A$375, 0))</f>
        <v>72.180000000000007</v>
      </c>
      <c r="P255" s="69">
        <f t="shared" si="35"/>
        <v>621.40366597252398</v>
      </c>
      <c r="Q255" s="69">
        <f t="shared" si="36"/>
        <v>246.44459675767467</v>
      </c>
      <c r="R255" s="73">
        <f>Annahmen!$B$9</f>
        <v>0.05</v>
      </c>
      <c r="S255" s="69">
        <f t="shared" si="37"/>
        <v>0.56905097616531497</v>
      </c>
      <c r="T255" s="69">
        <f t="shared" si="38"/>
        <v>0</v>
      </c>
      <c r="U255" s="74">
        <f>$O255+Annahmen!$B$10+(T255*Annahmen!$B$11)</f>
        <v>80.180000000000007</v>
      </c>
      <c r="V255" s="74">
        <f t="shared" si="31"/>
        <v>45.626507268934958</v>
      </c>
      <c r="W255" s="74">
        <f t="shared" si="39"/>
        <v>566.05776803068545</v>
      </c>
    </row>
    <row r="256" spans="1:23" x14ac:dyDescent="0.35">
      <c r="A256" s="70">
        <v>45912</v>
      </c>
      <c r="B256" s="71" t="str">
        <f t="shared" si="32"/>
        <v>Fr</v>
      </c>
      <c r="C256" s="69">
        <f t="shared" si="33"/>
        <v>9</v>
      </c>
      <c r="D256" s="69">
        <v>255</v>
      </c>
      <c r="E256" s="69" t="str">
        <f>IF(OR(COUNTIF(Feiertage_Hessen_2025!$C$4:$C$13,A256)&gt;0,WEEKDAY(A256,2)=7),"FT",IF(WEEKDAY(A256,2)=6,"SA","WT"))</f>
        <v>WT</v>
      </c>
      <c r="F256" s="69">
        <f>INDEX('BDEW-H25 Tagessummen'!$C$4:$C$39, MATCH(C256&amp;"_"&amp;E256, 'BDEW-H25 Tagessummen'!$D$4:$D$39, 0))</f>
        <v>2656.0739999999996</v>
      </c>
      <c r="G256" s="69">
        <f t="shared" si="30"/>
        <v>0.85931075500000054</v>
      </c>
      <c r="H256" s="69">
        <f>Tabelle1[[#This Row],[Profilwert (kWh)]]*Tabelle1[[#This Row],[Dynamisierungsfaktor]]</f>
        <v>2282.392954275871</v>
      </c>
      <c r="I256" s="69">
        <f>Annahmen!$B$5*(H256/SUM($H$2:$H$366))</f>
        <v>11.416900845082298</v>
      </c>
      <c r="J256" s="69">
        <f>Annahmen!$B$6</f>
        <v>130</v>
      </c>
      <c r="K256" s="69">
        <f t="shared" si="34"/>
        <v>1484.1971098606987</v>
      </c>
      <c r="L256" s="69">
        <f>I256*Annahmen!$B$7</f>
        <v>7.9918305915576076</v>
      </c>
      <c r="M256" s="69">
        <f>I256*(1-Annahmen!$B$7)</f>
        <v>3.42507025352469</v>
      </c>
      <c r="N256" s="69">
        <f>Annahmen!$B$8</f>
        <v>78</v>
      </c>
      <c r="O256" s="72">
        <f>INDEX(Quelle_SMARD_Preise_2025!$C$11:$C$375, MATCH($A256,Quelle_SMARD_Preise_2025!$A$11:$A$375, 0))</f>
        <v>54.13</v>
      </c>
      <c r="P256" s="69">
        <f t="shared" si="35"/>
        <v>623.36278614149342</v>
      </c>
      <c r="Q256" s="69">
        <f t="shared" si="36"/>
        <v>185.39905282329147</v>
      </c>
      <c r="R256" s="73">
        <f>Annahmen!$B$9</f>
        <v>0.05</v>
      </c>
      <c r="S256" s="69">
        <f t="shared" si="37"/>
        <v>0.57084504225411492</v>
      </c>
      <c r="T256" s="69">
        <f t="shared" si="38"/>
        <v>0</v>
      </c>
      <c r="U256" s="74">
        <f>$O256+Annahmen!$B$10+(T256*Annahmen!$B$11)</f>
        <v>62.13</v>
      </c>
      <c r="V256" s="74">
        <f t="shared" si="31"/>
        <v>35.466602475248159</v>
      </c>
      <c r="W256" s="74">
        <f t="shared" si="39"/>
        <v>639.96866842066572</v>
      </c>
    </row>
    <row r="257" spans="1:23" x14ac:dyDescent="0.35">
      <c r="A257" s="70">
        <v>45913</v>
      </c>
      <c r="B257" s="71" t="str">
        <f t="shared" si="32"/>
        <v>Sa</v>
      </c>
      <c r="C257" s="69">
        <f t="shared" si="33"/>
        <v>9</v>
      </c>
      <c r="D257" s="69">
        <v>256</v>
      </c>
      <c r="E257" s="69" t="str">
        <f>IF(OR(COUNTIF(Feiertage_Hessen_2025!$C$4:$C$13,A257)&gt;0,WEEKDAY(A257,2)=7),"FT",IF(WEEKDAY(A257,2)=6,"SA","WT"))</f>
        <v>SA</v>
      </c>
      <c r="F257" s="69">
        <f>INDEX('BDEW-H25 Tagessummen'!$C$4:$C$39, MATCH(C257&amp;"_"&amp;E257, 'BDEW-H25 Tagessummen'!$D$4:$D$39, 0))</f>
        <v>3040.3609999999994</v>
      </c>
      <c r="G257" s="69">
        <f t="shared" si="30"/>
        <v>0.86205473996800031</v>
      </c>
      <c r="H257" s="69">
        <f>Tabelle1[[#This Row],[Profilwert (kWh)]]*Tabelle1[[#This Row],[Dynamisierungsfaktor]]</f>
        <v>2620.9576112638488</v>
      </c>
      <c r="I257" s="69">
        <f>Annahmen!$B$5*(H257/SUM($H$2:$H$366))</f>
        <v>13.110456335270618</v>
      </c>
      <c r="J257" s="69">
        <f>Annahmen!$B$6</f>
        <v>130</v>
      </c>
      <c r="K257" s="69">
        <f t="shared" si="34"/>
        <v>1704.3593235851804</v>
      </c>
      <c r="L257" s="69">
        <f>I257*Annahmen!$B$7</f>
        <v>9.1773194346894318</v>
      </c>
      <c r="M257" s="69">
        <f>I257*(1-Annahmen!$B$7)</f>
        <v>3.9331369005811858</v>
      </c>
      <c r="N257" s="69">
        <f>Annahmen!$B$8</f>
        <v>78</v>
      </c>
      <c r="O257" s="72">
        <f>INDEX(Quelle_SMARD_Preise_2025!$C$11:$C$375, MATCH($A257,Quelle_SMARD_Preise_2025!$A$11:$A$375, 0))</f>
        <v>60.96</v>
      </c>
      <c r="P257" s="69">
        <f t="shared" si="35"/>
        <v>715.83091590577567</v>
      </c>
      <c r="Q257" s="69">
        <f t="shared" si="36"/>
        <v>239.76402545942909</v>
      </c>
      <c r="R257" s="73">
        <f>Annahmen!$B$9</f>
        <v>0.05</v>
      </c>
      <c r="S257" s="69">
        <f t="shared" si="37"/>
        <v>0.65552281676353097</v>
      </c>
      <c r="T257" s="69">
        <f t="shared" si="38"/>
        <v>0</v>
      </c>
      <c r="U257" s="74">
        <f>$O257+Annahmen!$B$10+(T257*Annahmen!$B$11)</f>
        <v>68.960000000000008</v>
      </c>
      <c r="V257" s="74">
        <f t="shared" si="31"/>
        <v>45.204853444013104</v>
      </c>
      <c r="W257" s="74">
        <f t="shared" si="39"/>
        <v>703.55952877596258</v>
      </c>
    </row>
    <row r="258" spans="1:23" x14ac:dyDescent="0.35">
      <c r="A258" s="70">
        <v>45914</v>
      </c>
      <c r="B258" s="71" t="str">
        <f t="shared" si="32"/>
        <v>So</v>
      </c>
      <c r="C258" s="69">
        <f t="shared" si="33"/>
        <v>9</v>
      </c>
      <c r="D258" s="69">
        <v>257</v>
      </c>
      <c r="E258" s="69" t="str">
        <f>IF(OR(COUNTIF(Feiertage_Hessen_2025!$C$4:$C$13,A258)&gt;0,WEEKDAY(A258,2)=7),"FT",IF(WEEKDAY(A258,2)=6,"SA","WT"))</f>
        <v>FT</v>
      </c>
      <c r="F258" s="69">
        <f>INDEX('BDEW-H25 Tagessummen'!$C$4:$C$39, MATCH(C258&amp;"_"&amp;E258, 'BDEW-H25 Tagessummen'!$D$4:$D$39, 0))</f>
        <v>3190.4380000000001</v>
      </c>
      <c r="G258" s="69">
        <f t="shared" ref="G258:G321" si="40">-3.92*10^-10*D258^4+3.2*10^-7*D258^3-7.02*10^-5*D258^2+2.1*10^-3*D258+1.24</f>
        <v>0.8648415628080004</v>
      </c>
      <c r="H258" s="69">
        <f>Tabelle1[[#This Row],[Profilwert (kWh)]]*Tabelle1[[#This Row],[Dynamisierungsfaktor]]</f>
        <v>2759.2233859620314</v>
      </c>
      <c r="I258" s="69">
        <f>Annahmen!$B$5*(H258/SUM($H$2:$H$366))</f>
        <v>13.802084232666783</v>
      </c>
      <c r="J258" s="69">
        <f>Annahmen!$B$6</f>
        <v>130</v>
      </c>
      <c r="K258" s="69">
        <f t="shared" si="34"/>
        <v>1794.2709502466817</v>
      </c>
      <c r="L258" s="69">
        <f>I258*Annahmen!$B$7</f>
        <v>9.6614589628667478</v>
      </c>
      <c r="M258" s="69">
        <f>I258*(1-Annahmen!$B$7)</f>
        <v>4.1406252698000356</v>
      </c>
      <c r="N258" s="69">
        <f>Annahmen!$B$8</f>
        <v>78</v>
      </c>
      <c r="O258" s="72">
        <f>INDEX(Quelle_SMARD_Preise_2025!$C$11:$C$375, MATCH($A258,Quelle_SMARD_Preise_2025!$A$11:$A$375, 0))</f>
        <v>71.72</v>
      </c>
      <c r="P258" s="69">
        <f t="shared" si="35"/>
        <v>753.59379910360633</v>
      </c>
      <c r="Q258" s="69">
        <f t="shared" si="36"/>
        <v>296.96564435005854</v>
      </c>
      <c r="R258" s="73">
        <f>Annahmen!$B$9</f>
        <v>0.05</v>
      </c>
      <c r="S258" s="69">
        <f t="shared" si="37"/>
        <v>0.69010421163333913</v>
      </c>
      <c r="T258" s="69">
        <f t="shared" si="38"/>
        <v>0</v>
      </c>
      <c r="U258" s="74">
        <f>$O258+Annahmen!$B$10+(T258*Annahmen!$B$11)</f>
        <v>79.72</v>
      </c>
      <c r="V258" s="74">
        <f t="shared" ref="V258:V321" si="41">ABS(S258)*U258</f>
        <v>55.015107751409793</v>
      </c>
      <c r="W258" s="74">
        <f t="shared" si="39"/>
        <v>688.69639904160692</v>
      </c>
    </row>
    <row r="259" spans="1:23" x14ac:dyDescent="0.35">
      <c r="A259" s="70">
        <v>45915</v>
      </c>
      <c r="B259" s="71" t="str">
        <f t="shared" ref="B259:B322" si="42">TEXT(A259,"TTT")</f>
        <v>Mo</v>
      </c>
      <c r="C259" s="69">
        <f t="shared" ref="C259:C322" si="43">MONTH(A259)</f>
        <v>9</v>
      </c>
      <c r="D259" s="69">
        <v>258</v>
      </c>
      <c r="E259" s="69" t="str">
        <f>IF(OR(COUNTIF(Feiertage_Hessen_2025!$C$4:$C$13,A259)&gt;0,WEEKDAY(A259,2)=7),"FT",IF(WEEKDAY(A259,2)=6,"SA","WT"))</f>
        <v>WT</v>
      </c>
      <c r="F259" s="69">
        <f>INDEX('BDEW-H25 Tagessummen'!$C$4:$C$39, MATCH(C259&amp;"_"&amp;E259, 'BDEW-H25 Tagessummen'!$D$4:$D$39, 0))</f>
        <v>2656.0739999999996</v>
      </c>
      <c r="G259" s="69">
        <f t="shared" si="40"/>
        <v>0.8676707303679998</v>
      </c>
      <c r="H259" s="69">
        <f>Tabelle1[[#This Row],[Profilwert (kWh)]]*Tabelle1[[#This Row],[Dynamisierungsfaktor]]</f>
        <v>2304.5976674914546</v>
      </c>
      <c r="I259" s="69">
        <f>Annahmen!$B$5*(H259/SUM($H$2:$H$366))</f>
        <v>11.527972432733705</v>
      </c>
      <c r="J259" s="69">
        <f>Annahmen!$B$6</f>
        <v>130</v>
      </c>
      <c r="K259" s="69">
        <f t="shared" ref="K259:K322" si="44">I259*J259</f>
        <v>1498.6364162553816</v>
      </c>
      <c r="L259" s="69">
        <f>I259*Annahmen!$B$7</f>
        <v>8.0695807029135924</v>
      </c>
      <c r="M259" s="69">
        <f>I259*(1-Annahmen!$B$7)</f>
        <v>3.4583917298201121</v>
      </c>
      <c r="N259" s="69">
        <f>Annahmen!$B$8</f>
        <v>78</v>
      </c>
      <c r="O259" s="72">
        <f>INDEX(Quelle_SMARD_Preise_2025!$C$11:$C$375, MATCH($A259,Quelle_SMARD_Preise_2025!$A$11:$A$375, 0))</f>
        <v>8.83</v>
      </c>
      <c r="P259" s="69">
        <f t="shared" ref="P259:P322" si="45">L259*N259</f>
        <v>629.4272948272602</v>
      </c>
      <c r="Q259" s="69">
        <f t="shared" ref="Q259:Q322" si="46">M259*O259</f>
        <v>30.537598974311589</v>
      </c>
      <c r="R259" s="73">
        <f>Annahmen!$B$9</f>
        <v>0.05</v>
      </c>
      <c r="S259" s="69">
        <f t="shared" ref="S259:S322" si="47">R259*I259</f>
        <v>0.57639862163668532</v>
      </c>
      <c r="T259" s="69">
        <f t="shared" ref="T259:T322" si="48">IF(OR(I259&gt;=PERCENTILE($I$2:$I$366,0.95),I259&lt;=PERCENTILE($I$2:$I$366,0.05)),1,0)</f>
        <v>0</v>
      </c>
      <c r="U259" s="74">
        <f>$O259+Annahmen!$B$10+(T259*Annahmen!$B$11)</f>
        <v>16.829999999999998</v>
      </c>
      <c r="V259" s="74">
        <f t="shared" si="41"/>
        <v>9.7007888021454125</v>
      </c>
      <c r="W259" s="74">
        <f t="shared" ref="W259:W322" si="49">K259-P259-Q259-V259</f>
        <v>828.97073365166443</v>
      </c>
    </row>
    <row r="260" spans="1:23" x14ac:dyDescent="0.35">
      <c r="A260" s="70">
        <v>45916</v>
      </c>
      <c r="B260" s="71" t="str">
        <f t="shared" si="42"/>
        <v>Di</v>
      </c>
      <c r="C260" s="69">
        <f t="shared" si="43"/>
        <v>9</v>
      </c>
      <c r="D260" s="69">
        <v>259</v>
      </c>
      <c r="E260" s="69" t="str">
        <f>IF(OR(COUNTIF(Feiertage_Hessen_2025!$C$4:$C$13,A260)&gt;0,WEEKDAY(A260,2)=7),"FT",IF(WEEKDAY(A260,2)=6,"SA","WT"))</f>
        <v>WT</v>
      </c>
      <c r="F260" s="69">
        <f>INDEX('BDEW-H25 Tagessummen'!$C$4:$C$39, MATCH(C260&amp;"_"&amp;E260, 'BDEW-H25 Tagessummen'!$D$4:$D$39, 0))</f>
        <v>2656.0739999999996</v>
      </c>
      <c r="G260" s="69">
        <f t="shared" si="40"/>
        <v>0.87054174008800045</v>
      </c>
      <c r="H260" s="69">
        <f>Tabelle1[[#This Row],[Profilwert (kWh)]]*Tabelle1[[#This Row],[Dynamisierungsfaktor]]</f>
        <v>2312.2232817624954</v>
      </c>
      <c r="I260" s="69">
        <f>Annahmen!$B$5*(H260/SUM($H$2:$H$366))</f>
        <v>11.566116995812649</v>
      </c>
      <c r="J260" s="69">
        <f>Annahmen!$B$6</f>
        <v>130</v>
      </c>
      <c r="K260" s="69">
        <f t="shared" si="44"/>
        <v>1503.5952094556444</v>
      </c>
      <c r="L260" s="69">
        <f>I260*Annahmen!$B$7</f>
        <v>8.0962818970688541</v>
      </c>
      <c r="M260" s="69">
        <f>I260*(1-Annahmen!$B$7)</f>
        <v>3.4698350987437951</v>
      </c>
      <c r="N260" s="69">
        <f>Annahmen!$B$8</f>
        <v>78</v>
      </c>
      <c r="O260" s="72">
        <f>INDEX(Quelle_SMARD_Preise_2025!$C$11:$C$375, MATCH($A260,Quelle_SMARD_Preise_2025!$A$11:$A$375, 0))</f>
        <v>19.52</v>
      </c>
      <c r="P260" s="69">
        <f t="shared" si="45"/>
        <v>631.50998797137061</v>
      </c>
      <c r="Q260" s="69">
        <f t="shared" si="46"/>
        <v>67.731181127478877</v>
      </c>
      <c r="R260" s="73">
        <f>Annahmen!$B$9</f>
        <v>0.05</v>
      </c>
      <c r="S260" s="69">
        <f t="shared" si="47"/>
        <v>0.57830584979063249</v>
      </c>
      <c r="T260" s="69">
        <f t="shared" si="48"/>
        <v>0</v>
      </c>
      <c r="U260" s="74">
        <f>$O260+Annahmen!$B$10+(T260*Annahmen!$B$11)</f>
        <v>27.52</v>
      </c>
      <c r="V260" s="74">
        <f t="shared" si="41"/>
        <v>15.914976986238205</v>
      </c>
      <c r="W260" s="74">
        <f t="shared" si="49"/>
        <v>788.43906337055671</v>
      </c>
    </row>
    <row r="261" spans="1:23" x14ac:dyDescent="0.35">
      <c r="A261" s="70">
        <v>45917</v>
      </c>
      <c r="B261" s="71" t="str">
        <f t="shared" si="42"/>
        <v>Mi</v>
      </c>
      <c r="C261" s="69">
        <f t="shared" si="43"/>
        <v>9</v>
      </c>
      <c r="D261" s="69">
        <v>260</v>
      </c>
      <c r="E261" s="69" t="str">
        <f>IF(OR(COUNTIF(Feiertage_Hessen_2025!$C$4:$C$13,A261)&gt;0,WEEKDAY(A261,2)=7),"FT",IF(WEEKDAY(A261,2)=6,"SA","WT"))</f>
        <v>WT</v>
      </c>
      <c r="F261" s="69">
        <f>INDEX('BDEW-H25 Tagessummen'!$C$4:$C$39, MATCH(C261&amp;"_"&amp;E261, 'BDEW-H25 Tagessummen'!$D$4:$D$39, 0))</f>
        <v>2656.0739999999996</v>
      </c>
      <c r="G261" s="69">
        <f t="shared" si="40"/>
        <v>0.87345408000000013</v>
      </c>
      <c r="H261" s="69">
        <f>Tabelle1[[#This Row],[Profilwert (kWh)]]*Tabelle1[[#This Row],[Dynamisierungsfaktor]]</f>
        <v>2319.9586720819202</v>
      </c>
      <c r="I261" s="69">
        <f>Annahmen!$B$5*(H261/SUM($H$2:$H$366))</f>
        <v>11.60481067654341</v>
      </c>
      <c r="J261" s="69">
        <f>Annahmen!$B$6</f>
        <v>130</v>
      </c>
      <c r="K261" s="69">
        <f t="shared" si="44"/>
        <v>1508.6253879506432</v>
      </c>
      <c r="L261" s="69">
        <f>I261*Annahmen!$B$7</f>
        <v>8.1233674735803874</v>
      </c>
      <c r="M261" s="69">
        <f>I261*(1-Annahmen!$B$7)</f>
        <v>3.4814432029630238</v>
      </c>
      <c r="N261" s="69">
        <f>Annahmen!$B$8</f>
        <v>78</v>
      </c>
      <c r="O261" s="72">
        <f>INDEX(Quelle_SMARD_Preise_2025!$C$11:$C$375, MATCH($A261,Quelle_SMARD_Preise_2025!$A$11:$A$375, 0))</f>
        <v>75.34</v>
      </c>
      <c r="P261" s="69">
        <f t="shared" si="45"/>
        <v>633.62266293927019</v>
      </c>
      <c r="Q261" s="69">
        <f t="shared" si="46"/>
        <v>262.2919309112342</v>
      </c>
      <c r="R261" s="73">
        <f>Annahmen!$B$9</f>
        <v>0.05</v>
      </c>
      <c r="S261" s="69">
        <f t="shared" si="47"/>
        <v>0.58024053382717056</v>
      </c>
      <c r="T261" s="69">
        <f t="shared" si="48"/>
        <v>0</v>
      </c>
      <c r="U261" s="74">
        <f>$O261+Annahmen!$B$10+(T261*Annahmen!$B$11)</f>
        <v>83.34</v>
      </c>
      <c r="V261" s="74">
        <f t="shared" si="41"/>
        <v>48.357246089156398</v>
      </c>
      <c r="W261" s="74">
        <f t="shared" si="49"/>
        <v>564.35354801098242</v>
      </c>
    </row>
    <row r="262" spans="1:23" x14ac:dyDescent="0.35">
      <c r="A262" s="70">
        <v>45918</v>
      </c>
      <c r="B262" s="71" t="str">
        <f t="shared" si="42"/>
        <v>Do</v>
      </c>
      <c r="C262" s="69">
        <f t="shared" si="43"/>
        <v>9</v>
      </c>
      <c r="D262" s="69">
        <v>261</v>
      </c>
      <c r="E262" s="69" t="str">
        <f>IF(OR(COUNTIF(Feiertage_Hessen_2025!$C$4:$C$13,A262)&gt;0,WEEKDAY(A262,2)=7),"FT",IF(WEEKDAY(A262,2)=6,"SA","WT"))</f>
        <v>WT</v>
      </c>
      <c r="F262" s="69">
        <f>INDEX('BDEW-H25 Tagessummen'!$C$4:$C$39, MATCH(C262&amp;"_"&amp;E262, 'BDEW-H25 Tagessummen'!$D$4:$D$39, 0))</f>
        <v>2656.0739999999996</v>
      </c>
      <c r="G262" s="69">
        <f t="shared" si="40"/>
        <v>0.87640722872800048</v>
      </c>
      <c r="H262" s="69">
        <f>Tabelle1[[#This Row],[Profilwert (kWh)]]*Tabelle1[[#This Row],[Dynamisierungsfaktor]]</f>
        <v>2327.8024536364946</v>
      </c>
      <c r="I262" s="69">
        <f>Annahmen!$B$5*(H262/SUM($H$2:$H$366))</f>
        <v>11.644046547864907</v>
      </c>
      <c r="J262" s="69">
        <f>Annahmen!$B$6</f>
        <v>130</v>
      </c>
      <c r="K262" s="69">
        <f t="shared" si="44"/>
        <v>1513.7260512224379</v>
      </c>
      <c r="L262" s="69">
        <f>I262*Annahmen!$B$7</f>
        <v>8.1508325835054336</v>
      </c>
      <c r="M262" s="69">
        <f>I262*(1-Annahmen!$B$7)</f>
        <v>3.4932139643594726</v>
      </c>
      <c r="N262" s="69">
        <f>Annahmen!$B$8</f>
        <v>78</v>
      </c>
      <c r="O262" s="72">
        <f>INDEX(Quelle_SMARD_Preise_2025!$C$11:$C$375, MATCH($A262,Quelle_SMARD_Preise_2025!$A$11:$A$375, 0))</f>
        <v>65.73</v>
      </c>
      <c r="P262" s="69">
        <f t="shared" si="45"/>
        <v>635.76494151342376</v>
      </c>
      <c r="Q262" s="69">
        <f t="shared" si="46"/>
        <v>229.60895387734814</v>
      </c>
      <c r="R262" s="73">
        <f>Annahmen!$B$9</f>
        <v>0.05</v>
      </c>
      <c r="S262" s="69">
        <f t="shared" si="47"/>
        <v>0.5822023273932454</v>
      </c>
      <c r="T262" s="69">
        <f t="shared" si="48"/>
        <v>0</v>
      </c>
      <c r="U262" s="74">
        <f>$O262+Annahmen!$B$10+(T262*Annahmen!$B$11)</f>
        <v>73.73</v>
      </c>
      <c r="V262" s="74">
        <f t="shared" si="41"/>
        <v>42.925777598703988</v>
      </c>
      <c r="W262" s="74">
        <f t="shared" si="49"/>
        <v>605.42637823296207</v>
      </c>
    </row>
    <row r="263" spans="1:23" x14ac:dyDescent="0.35">
      <c r="A263" s="70">
        <v>45919</v>
      </c>
      <c r="B263" s="71" t="str">
        <f t="shared" si="42"/>
        <v>Fr</v>
      </c>
      <c r="C263" s="69">
        <f t="shared" si="43"/>
        <v>9</v>
      </c>
      <c r="D263" s="69">
        <v>262</v>
      </c>
      <c r="E263" s="69" t="str">
        <f>IF(OR(COUNTIF(Feiertage_Hessen_2025!$C$4:$C$13,A263)&gt;0,WEEKDAY(A263,2)=7),"FT",IF(WEEKDAY(A263,2)=6,"SA","WT"))</f>
        <v>WT</v>
      </c>
      <c r="F263" s="69">
        <f>INDEX('BDEW-H25 Tagessummen'!$C$4:$C$39, MATCH(C263&amp;"_"&amp;E263, 'BDEW-H25 Tagessummen'!$D$4:$D$39, 0))</f>
        <v>2656.0739999999996</v>
      </c>
      <c r="G263" s="69">
        <f t="shared" si="40"/>
        <v>0.87940065548799995</v>
      </c>
      <c r="H263" s="69">
        <f>Tabelle1[[#This Row],[Profilwert (kWh)]]*Tabelle1[[#This Row],[Dynamisierungsfaktor]]</f>
        <v>2335.7532166246338</v>
      </c>
      <c r="I263" s="69">
        <f>Annahmen!$B$5*(H263/SUM($H$2:$H$366))</f>
        <v>11.683817557720278</v>
      </c>
      <c r="J263" s="69">
        <f>Annahmen!$B$6</f>
        <v>130</v>
      </c>
      <c r="K263" s="69">
        <f t="shared" si="44"/>
        <v>1518.8962825036363</v>
      </c>
      <c r="L263" s="69">
        <f>I263*Annahmen!$B$7</f>
        <v>8.1786722904041937</v>
      </c>
      <c r="M263" s="69">
        <f>I263*(1-Annahmen!$B$7)</f>
        <v>3.5051452673160841</v>
      </c>
      <c r="N263" s="69">
        <f>Annahmen!$B$8</f>
        <v>78</v>
      </c>
      <c r="O263" s="72">
        <f>INDEX(Quelle_SMARD_Preise_2025!$C$11:$C$375, MATCH($A263,Quelle_SMARD_Preise_2025!$A$11:$A$375, 0))</f>
        <v>96.48</v>
      </c>
      <c r="P263" s="69">
        <f t="shared" si="45"/>
        <v>637.93643865152717</v>
      </c>
      <c r="Q263" s="69">
        <f t="shared" si="46"/>
        <v>338.17641539065579</v>
      </c>
      <c r="R263" s="73">
        <f>Annahmen!$B$9</f>
        <v>0.05</v>
      </c>
      <c r="S263" s="69">
        <f t="shared" si="47"/>
        <v>0.58419087788601398</v>
      </c>
      <c r="T263" s="69">
        <f t="shared" si="48"/>
        <v>0</v>
      </c>
      <c r="U263" s="74">
        <f>$O263+Annahmen!$B$10+(T263*Annahmen!$B$11)</f>
        <v>104.48</v>
      </c>
      <c r="V263" s="74">
        <f t="shared" si="41"/>
        <v>61.036262921530742</v>
      </c>
      <c r="W263" s="74">
        <f t="shared" si="49"/>
        <v>481.74716553992249</v>
      </c>
    </row>
    <row r="264" spans="1:23" x14ac:dyDescent="0.35">
      <c r="A264" s="70">
        <v>45920</v>
      </c>
      <c r="B264" s="71" t="str">
        <f t="shared" si="42"/>
        <v>Sa</v>
      </c>
      <c r="C264" s="69">
        <f t="shared" si="43"/>
        <v>9</v>
      </c>
      <c r="D264" s="69">
        <v>263</v>
      </c>
      <c r="E264" s="69" t="str">
        <f>IF(OR(COUNTIF(Feiertage_Hessen_2025!$C$4:$C$13,A264)&gt;0,WEEKDAY(A264,2)=7),"FT",IF(WEEKDAY(A264,2)=6,"SA","WT"))</f>
        <v>SA</v>
      </c>
      <c r="F264" s="69">
        <f>INDEX('BDEW-H25 Tagessummen'!$C$4:$C$39, MATCH(C264&amp;"_"&amp;E264, 'BDEW-H25 Tagessummen'!$D$4:$D$39, 0))</f>
        <v>3040.3609999999994</v>
      </c>
      <c r="G264" s="69">
        <f t="shared" si="40"/>
        <v>0.88243382008799964</v>
      </c>
      <c r="H264" s="69">
        <f>Tabelle1[[#This Row],[Profilwert (kWh)]]*Tabelle1[[#This Row],[Dynamisierungsfaktor]]</f>
        <v>2682.9173716765704</v>
      </c>
      <c r="I264" s="69">
        <f>Annahmen!$B$5*(H264/SUM($H$2:$H$366))</f>
        <v>13.420389136146062</v>
      </c>
      <c r="J264" s="69">
        <f>Annahmen!$B$6</f>
        <v>130</v>
      </c>
      <c r="K264" s="69">
        <f t="shared" si="44"/>
        <v>1744.6505876989879</v>
      </c>
      <c r="L264" s="69">
        <f>I264*Annahmen!$B$7</f>
        <v>9.3942723953022433</v>
      </c>
      <c r="M264" s="69">
        <f>I264*(1-Annahmen!$B$7)</f>
        <v>4.0261167408438192</v>
      </c>
      <c r="N264" s="69">
        <f>Annahmen!$B$8</f>
        <v>78</v>
      </c>
      <c r="O264" s="72">
        <f>INDEX(Quelle_SMARD_Preise_2025!$C$11:$C$375, MATCH($A264,Quelle_SMARD_Preise_2025!$A$11:$A$375, 0))</f>
        <v>58.71</v>
      </c>
      <c r="P264" s="69">
        <f t="shared" si="45"/>
        <v>732.75324683357496</v>
      </c>
      <c r="Q264" s="69">
        <f t="shared" si="46"/>
        <v>236.37331385494062</v>
      </c>
      <c r="R264" s="73">
        <f>Annahmen!$B$9</f>
        <v>0.05</v>
      </c>
      <c r="S264" s="69">
        <f t="shared" si="47"/>
        <v>0.67101945680730313</v>
      </c>
      <c r="T264" s="69">
        <f t="shared" si="48"/>
        <v>0</v>
      </c>
      <c r="U264" s="74">
        <f>$O264+Annahmen!$B$10+(T264*Annahmen!$B$11)</f>
        <v>66.710000000000008</v>
      </c>
      <c r="V264" s="74">
        <f t="shared" si="41"/>
        <v>44.763707963615197</v>
      </c>
      <c r="W264" s="74">
        <f t="shared" si="49"/>
        <v>730.76031904685715</v>
      </c>
    </row>
    <row r="265" spans="1:23" x14ac:dyDescent="0.35">
      <c r="A265" s="70">
        <v>45921</v>
      </c>
      <c r="B265" s="71" t="str">
        <f t="shared" si="42"/>
        <v>So</v>
      </c>
      <c r="C265" s="69">
        <f t="shared" si="43"/>
        <v>9</v>
      </c>
      <c r="D265" s="69">
        <v>264</v>
      </c>
      <c r="E265" s="69" t="str">
        <f>IF(OR(COUNTIF(Feiertage_Hessen_2025!$C$4:$C$13,A265)&gt;0,WEEKDAY(A265,2)=7),"FT",IF(WEEKDAY(A265,2)=6,"SA","WT"))</f>
        <v>FT</v>
      </c>
      <c r="F265" s="69">
        <f>INDEX('BDEW-H25 Tagessummen'!$C$4:$C$39, MATCH(C265&amp;"_"&amp;E265, 'BDEW-H25 Tagessummen'!$D$4:$D$39, 0))</f>
        <v>3190.4380000000001</v>
      </c>
      <c r="G265" s="69">
        <f t="shared" si="40"/>
        <v>0.88550617292800082</v>
      </c>
      <c r="H265" s="69">
        <f>Tabelle1[[#This Row],[Profilwert (kWh)]]*Tabelle1[[#This Row],[Dynamisierungsfaktor]]</f>
        <v>2825.1525433440652</v>
      </c>
      <c r="I265" s="69">
        <f>Annahmen!$B$5*(H265/SUM($H$2:$H$366))</f>
        <v>14.131872602903544</v>
      </c>
      <c r="J265" s="69">
        <f>Annahmen!$B$6</f>
        <v>130</v>
      </c>
      <c r="K265" s="69">
        <f t="shared" si="44"/>
        <v>1837.1434383774606</v>
      </c>
      <c r="L265" s="69">
        <f>I265*Annahmen!$B$7</f>
        <v>9.8923108220324796</v>
      </c>
      <c r="M265" s="69">
        <f>I265*(1-Annahmen!$B$7)</f>
        <v>4.2395617808710639</v>
      </c>
      <c r="N265" s="69">
        <f>Annahmen!$B$8</f>
        <v>78</v>
      </c>
      <c r="O265" s="72">
        <f>INDEX(Quelle_SMARD_Preise_2025!$C$11:$C$375, MATCH($A265,Quelle_SMARD_Preise_2025!$A$11:$A$375, 0))</f>
        <v>32.18</v>
      </c>
      <c r="P265" s="69">
        <f t="shared" si="45"/>
        <v>771.6002441185334</v>
      </c>
      <c r="Q265" s="69">
        <f t="shared" si="46"/>
        <v>136.42909810843085</v>
      </c>
      <c r="R265" s="73">
        <f>Annahmen!$B$9</f>
        <v>0.05</v>
      </c>
      <c r="S265" s="69">
        <f t="shared" si="47"/>
        <v>0.70659363014517718</v>
      </c>
      <c r="T265" s="69">
        <f t="shared" si="48"/>
        <v>0</v>
      </c>
      <c r="U265" s="74">
        <f>$O265+Annahmen!$B$10+(T265*Annahmen!$B$11)</f>
        <v>40.18</v>
      </c>
      <c r="V265" s="74">
        <f t="shared" si="41"/>
        <v>28.390932059233219</v>
      </c>
      <c r="W265" s="74">
        <f t="shared" si="49"/>
        <v>900.72316409126302</v>
      </c>
    </row>
    <row r="266" spans="1:23" x14ac:dyDescent="0.35">
      <c r="A266" s="70">
        <v>45922</v>
      </c>
      <c r="B266" s="71" t="str">
        <f t="shared" si="42"/>
        <v>Mo</v>
      </c>
      <c r="C266" s="69">
        <f t="shared" si="43"/>
        <v>9</v>
      </c>
      <c r="D266" s="69">
        <v>265</v>
      </c>
      <c r="E266" s="69" t="str">
        <f>IF(OR(COUNTIF(Feiertage_Hessen_2025!$C$4:$C$13,A266)&gt;0,WEEKDAY(A266,2)=7),"FT",IF(WEEKDAY(A266,2)=6,"SA","WT"))</f>
        <v>WT</v>
      </c>
      <c r="F266" s="69">
        <f>INDEX('BDEW-H25 Tagessummen'!$C$4:$C$39, MATCH(C266&amp;"_"&amp;E266, 'BDEW-H25 Tagessummen'!$D$4:$D$39, 0))</f>
        <v>2656.0739999999996</v>
      </c>
      <c r="G266" s="69">
        <f t="shared" si="40"/>
        <v>0.88861715500000049</v>
      </c>
      <c r="H266" s="69">
        <f>Tabelle1[[#This Row],[Profilwert (kWh)]]*Tabelle1[[#This Row],[Dynamisierungsfaktor]]</f>
        <v>2360.2329213494709</v>
      </c>
      <c r="I266" s="69">
        <f>Annahmen!$B$5*(H266/SUM($H$2:$H$366))</f>
        <v>11.806269022984738</v>
      </c>
      <c r="J266" s="69">
        <f>Annahmen!$B$6</f>
        <v>130</v>
      </c>
      <c r="K266" s="69">
        <f t="shared" si="44"/>
        <v>1534.8149729880161</v>
      </c>
      <c r="L266" s="69">
        <f>I266*Annahmen!$B$7</f>
        <v>8.2643883160893168</v>
      </c>
      <c r="M266" s="69">
        <f>I266*(1-Annahmen!$B$7)</f>
        <v>3.5418807068954221</v>
      </c>
      <c r="N266" s="69">
        <f>Annahmen!$B$8</f>
        <v>78</v>
      </c>
      <c r="O266" s="72">
        <f>INDEX(Quelle_SMARD_Preise_2025!$C$11:$C$375, MATCH($A266,Quelle_SMARD_Preise_2025!$A$11:$A$375, 0))</f>
        <v>97.5</v>
      </c>
      <c r="P266" s="69">
        <f t="shared" si="45"/>
        <v>644.62228865496672</v>
      </c>
      <c r="Q266" s="69">
        <f t="shared" si="46"/>
        <v>345.33336892230363</v>
      </c>
      <c r="R266" s="73">
        <f>Annahmen!$B$9</f>
        <v>0.05</v>
      </c>
      <c r="S266" s="69">
        <f t="shared" si="47"/>
        <v>0.59031345114923695</v>
      </c>
      <c r="T266" s="69">
        <f t="shared" si="48"/>
        <v>0</v>
      </c>
      <c r="U266" s="74">
        <f>$O266+Annahmen!$B$10+(T266*Annahmen!$B$11)</f>
        <v>105.5</v>
      </c>
      <c r="V266" s="74">
        <f t="shared" si="41"/>
        <v>62.278069096244501</v>
      </c>
      <c r="W266" s="74">
        <f t="shared" si="49"/>
        <v>482.58124631450119</v>
      </c>
    </row>
    <row r="267" spans="1:23" x14ac:dyDescent="0.35">
      <c r="A267" s="70">
        <v>45923</v>
      </c>
      <c r="B267" s="71" t="str">
        <f t="shared" si="42"/>
        <v>Di</v>
      </c>
      <c r="C267" s="69">
        <f t="shared" si="43"/>
        <v>9</v>
      </c>
      <c r="D267" s="69">
        <v>266</v>
      </c>
      <c r="E267" s="69" t="str">
        <f>IF(OR(COUNTIF(Feiertage_Hessen_2025!$C$4:$C$13,A267)&gt;0,WEEKDAY(A267,2)=7),"FT",IF(WEEKDAY(A267,2)=6,"SA","WT"))</f>
        <v>WT</v>
      </c>
      <c r="F267" s="69">
        <f>INDEX('BDEW-H25 Tagessummen'!$C$4:$C$39, MATCH(C267&amp;"_"&amp;E267, 'BDEW-H25 Tagessummen'!$D$4:$D$39, 0))</f>
        <v>2656.0739999999996</v>
      </c>
      <c r="G267" s="69">
        <f t="shared" si="40"/>
        <v>0.89176619788800038</v>
      </c>
      <c r="H267" s="69">
        <f>Tabelle1[[#This Row],[Profilwert (kWh)]]*Tabelle1[[#This Row],[Dynamisierungsfaktor]]</f>
        <v>2368.5970122891722</v>
      </c>
      <c r="I267" s="69">
        <f>Annahmen!$B$5*(H267/SUM($H$2:$H$366))</f>
        <v>11.848107566491858</v>
      </c>
      <c r="J267" s="69">
        <f>Annahmen!$B$6</f>
        <v>130</v>
      </c>
      <c r="K267" s="69">
        <f t="shared" si="44"/>
        <v>1540.2539836439416</v>
      </c>
      <c r="L267" s="69">
        <f>I267*Annahmen!$B$7</f>
        <v>8.2936752965443006</v>
      </c>
      <c r="M267" s="69">
        <f>I267*(1-Annahmen!$B$7)</f>
        <v>3.5544322699475579</v>
      </c>
      <c r="N267" s="69">
        <f>Annahmen!$B$8</f>
        <v>78</v>
      </c>
      <c r="O267" s="72">
        <f>INDEX(Quelle_SMARD_Preise_2025!$C$11:$C$375, MATCH($A267,Quelle_SMARD_Preise_2025!$A$11:$A$375, 0))</f>
        <v>103.09</v>
      </c>
      <c r="P267" s="69">
        <f t="shared" si="45"/>
        <v>646.90667313045549</v>
      </c>
      <c r="Q267" s="69">
        <f t="shared" si="46"/>
        <v>366.42642270889377</v>
      </c>
      <c r="R267" s="73">
        <f>Annahmen!$B$9</f>
        <v>0.05</v>
      </c>
      <c r="S267" s="69">
        <f t="shared" si="47"/>
        <v>0.59240537832459295</v>
      </c>
      <c r="T267" s="69">
        <f t="shared" si="48"/>
        <v>0</v>
      </c>
      <c r="U267" s="74">
        <f>$O267+Annahmen!$B$10+(T267*Annahmen!$B$11)</f>
        <v>111.09</v>
      </c>
      <c r="V267" s="74">
        <f t="shared" si="41"/>
        <v>65.810313478079038</v>
      </c>
      <c r="W267" s="74">
        <f t="shared" si="49"/>
        <v>461.11057432651342</v>
      </c>
    </row>
    <row r="268" spans="1:23" x14ac:dyDescent="0.35">
      <c r="A268" s="70">
        <v>45924</v>
      </c>
      <c r="B268" s="71" t="str">
        <f t="shared" si="42"/>
        <v>Mi</v>
      </c>
      <c r="C268" s="69">
        <f t="shared" si="43"/>
        <v>9</v>
      </c>
      <c r="D268" s="69">
        <v>267</v>
      </c>
      <c r="E268" s="69" t="str">
        <f>IF(OR(COUNTIF(Feiertage_Hessen_2025!$C$4:$C$13,A268)&gt;0,WEEKDAY(A268,2)=7),"FT",IF(WEEKDAY(A268,2)=6,"SA","WT"))</f>
        <v>WT</v>
      </c>
      <c r="F268" s="69">
        <f>INDEX('BDEW-H25 Tagessummen'!$C$4:$C$39, MATCH(C268&amp;"_"&amp;E268, 'BDEW-H25 Tagessummen'!$D$4:$D$39, 0))</f>
        <v>2656.0739999999996</v>
      </c>
      <c r="G268" s="69">
        <f t="shared" si="40"/>
        <v>0.89495272376800117</v>
      </c>
      <c r="H268" s="69">
        <f>Tabelle1[[#This Row],[Profilwert (kWh)]]*Tabelle1[[#This Row],[Dynamisierungsfaktor]]</f>
        <v>2377.0606608293697</v>
      </c>
      <c r="I268" s="69">
        <f>Annahmen!$B$5*(H268/SUM($H$2:$H$366))</f>
        <v>11.890444113312176</v>
      </c>
      <c r="J268" s="69">
        <f>Annahmen!$B$6</f>
        <v>130</v>
      </c>
      <c r="K268" s="69">
        <f t="shared" si="44"/>
        <v>1545.7577347305828</v>
      </c>
      <c r="L268" s="69">
        <f>I268*Annahmen!$B$7</f>
        <v>8.3233108793185231</v>
      </c>
      <c r="M268" s="69">
        <f>I268*(1-Annahmen!$B$7)</f>
        <v>3.5671332339936535</v>
      </c>
      <c r="N268" s="69">
        <f>Annahmen!$B$8</f>
        <v>78</v>
      </c>
      <c r="O268" s="72">
        <f>INDEX(Quelle_SMARD_Preise_2025!$C$11:$C$375, MATCH($A268,Quelle_SMARD_Preise_2025!$A$11:$A$375, 0))</f>
        <v>79.19</v>
      </c>
      <c r="P268" s="69">
        <f t="shared" si="45"/>
        <v>649.21824858684477</v>
      </c>
      <c r="Q268" s="69">
        <f t="shared" si="46"/>
        <v>282.4812807999574</v>
      </c>
      <c r="R268" s="73">
        <f>Annahmen!$B$9</f>
        <v>0.05</v>
      </c>
      <c r="S268" s="69">
        <f t="shared" si="47"/>
        <v>0.59452220566560887</v>
      </c>
      <c r="T268" s="69">
        <f t="shared" si="48"/>
        <v>0</v>
      </c>
      <c r="U268" s="74">
        <f>$O268+Annahmen!$B$10+(T268*Annahmen!$B$11)</f>
        <v>87.19</v>
      </c>
      <c r="V268" s="74">
        <f t="shared" si="41"/>
        <v>51.836391111984433</v>
      </c>
      <c r="W268" s="74">
        <f t="shared" si="49"/>
        <v>562.2218142317962</v>
      </c>
    </row>
    <row r="269" spans="1:23" x14ac:dyDescent="0.35">
      <c r="A269" s="70">
        <v>45925</v>
      </c>
      <c r="B269" s="71" t="str">
        <f t="shared" si="42"/>
        <v>Do</v>
      </c>
      <c r="C269" s="69">
        <f t="shared" si="43"/>
        <v>9</v>
      </c>
      <c r="D269" s="69">
        <v>268</v>
      </c>
      <c r="E269" s="69" t="str">
        <f>IF(OR(COUNTIF(Feiertage_Hessen_2025!$C$4:$C$13,A269)&gt;0,WEEKDAY(A269,2)=7),"FT",IF(WEEKDAY(A269,2)=6,"SA","WT"))</f>
        <v>WT</v>
      </c>
      <c r="F269" s="69">
        <f>INDEX('BDEW-H25 Tagessummen'!$C$4:$C$39, MATCH(C269&amp;"_"&amp;E269, 'BDEW-H25 Tagessummen'!$D$4:$D$39, 0))</f>
        <v>2656.0739999999996</v>
      </c>
      <c r="G269" s="69">
        <f t="shared" si="40"/>
        <v>0.89817614540799939</v>
      </c>
      <c r="H269" s="69">
        <f>Tabelle1[[#This Row],[Profilwert (kWh)]]*Tabelle1[[#This Row],[Dynamisierungsfaktor]]</f>
        <v>2385.6223072384064</v>
      </c>
      <c r="I269" s="69">
        <f>Annahmen!$B$5*(H269/SUM($H$2:$H$366))</f>
        <v>11.93327086141421</v>
      </c>
      <c r="J269" s="69">
        <f>Annahmen!$B$6</f>
        <v>130</v>
      </c>
      <c r="K269" s="69">
        <f t="shared" si="44"/>
        <v>1551.3252119838473</v>
      </c>
      <c r="L269" s="69">
        <f>I269*Annahmen!$B$7</f>
        <v>8.3532896029899462</v>
      </c>
      <c r="M269" s="69">
        <f>I269*(1-Annahmen!$B$7)</f>
        <v>3.5799812584242634</v>
      </c>
      <c r="N269" s="69">
        <f>Annahmen!$B$8</f>
        <v>78</v>
      </c>
      <c r="O269" s="72">
        <f>INDEX(Quelle_SMARD_Preise_2025!$C$11:$C$375, MATCH($A269,Quelle_SMARD_Preise_2025!$A$11:$A$375, 0))</f>
        <v>81.81</v>
      </c>
      <c r="P269" s="69">
        <f t="shared" si="45"/>
        <v>651.5565890332158</v>
      </c>
      <c r="Q269" s="69">
        <f t="shared" si="46"/>
        <v>292.87826675168901</v>
      </c>
      <c r="R269" s="73">
        <f>Annahmen!$B$9</f>
        <v>0.05</v>
      </c>
      <c r="S269" s="69">
        <f t="shared" si="47"/>
        <v>0.59666354307071046</v>
      </c>
      <c r="T269" s="69">
        <f t="shared" si="48"/>
        <v>0</v>
      </c>
      <c r="U269" s="74">
        <f>$O269+Annahmen!$B$10+(T269*Annahmen!$B$11)</f>
        <v>89.81</v>
      </c>
      <c r="V269" s="74">
        <f t="shared" si="41"/>
        <v>53.58635280318051</v>
      </c>
      <c r="W269" s="74">
        <f t="shared" si="49"/>
        <v>553.30400339576204</v>
      </c>
    </row>
    <row r="270" spans="1:23" x14ac:dyDescent="0.35">
      <c r="A270" s="70">
        <v>45926</v>
      </c>
      <c r="B270" s="71" t="str">
        <f t="shared" si="42"/>
        <v>Fr</v>
      </c>
      <c r="C270" s="69">
        <f t="shared" si="43"/>
        <v>9</v>
      </c>
      <c r="D270" s="69">
        <v>269</v>
      </c>
      <c r="E270" s="69" t="str">
        <f>IF(OR(COUNTIF(Feiertage_Hessen_2025!$C$4:$C$13,A270)&gt;0,WEEKDAY(A270,2)=7),"FT",IF(WEEKDAY(A270,2)=6,"SA","WT"))</f>
        <v>WT</v>
      </c>
      <c r="F270" s="69">
        <f>INDEX('BDEW-H25 Tagessummen'!$C$4:$C$39, MATCH(C270&amp;"_"&amp;E270, 'BDEW-H25 Tagessummen'!$D$4:$D$39, 0))</f>
        <v>2656.0739999999996</v>
      </c>
      <c r="G270" s="69">
        <f t="shared" si="40"/>
        <v>0.90143586616799987</v>
      </c>
      <c r="H270" s="69">
        <f>Tabelle1[[#This Row],[Profilwert (kWh)]]*Tabelle1[[#This Row],[Dynamisierungsfaktor]]</f>
        <v>2394.280366796304</v>
      </c>
      <c r="I270" s="69">
        <f>Annahmen!$B$5*(H270/SUM($H$2:$H$366))</f>
        <v>11.976579883770833</v>
      </c>
      <c r="J270" s="69">
        <f>Annahmen!$B$6</f>
        <v>130</v>
      </c>
      <c r="K270" s="69">
        <f t="shared" si="44"/>
        <v>1556.9553848902083</v>
      </c>
      <c r="L270" s="69">
        <f>I270*Annahmen!$B$7</f>
        <v>8.3836059186395833</v>
      </c>
      <c r="M270" s="69">
        <f>I270*(1-Annahmen!$B$7)</f>
        <v>3.5929739651312507</v>
      </c>
      <c r="N270" s="69">
        <f>Annahmen!$B$8</f>
        <v>78</v>
      </c>
      <c r="O270" s="72">
        <f>INDEX(Quelle_SMARD_Preise_2025!$C$11:$C$375, MATCH($A270,Quelle_SMARD_Preise_2025!$A$11:$A$375, 0))</f>
        <v>94.96</v>
      </c>
      <c r="P270" s="69">
        <f t="shared" si="45"/>
        <v>653.92126165388754</v>
      </c>
      <c r="Q270" s="69">
        <f t="shared" si="46"/>
        <v>341.18880772886354</v>
      </c>
      <c r="R270" s="73">
        <f>Annahmen!$B$9</f>
        <v>0.05</v>
      </c>
      <c r="S270" s="69">
        <f t="shared" si="47"/>
        <v>0.59882899418854174</v>
      </c>
      <c r="T270" s="69">
        <f t="shared" si="48"/>
        <v>0</v>
      </c>
      <c r="U270" s="74">
        <f>$O270+Annahmen!$B$10+(T270*Annahmen!$B$11)</f>
        <v>102.96</v>
      </c>
      <c r="V270" s="74">
        <f t="shared" si="41"/>
        <v>61.655433241652254</v>
      </c>
      <c r="W270" s="74">
        <f t="shared" si="49"/>
        <v>500.1898822658049</v>
      </c>
    </row>
    <row r="271" spans="1:23" x14ac:dyDescent="0.35">
      <c r="A271" s="70">
        <v>45927</v>
      </c>
      <c r="B271" s="71" t="str">
        <f t="shared" si="42"/>
        <v>Sa</v>
      </c>
      <c r="C271" s="69">
        <f t="shared" si="43"/>
        <v>9</v>
      </c>
      <c r="D271" s="69">
        <v>270</v>
      </c>
      <c r="E271" s="69" t="str">
        <f>IF(OR(COUNTIF(Feiertage_Hessen_2025!$C$4:$C$13,A271)&gt;0,WEEKDAY(A271,2)=7),"FT",IF(WEEKDAY(A271,2)=6,"SA","WT"))</f>
        <v>SA</v>
      </c>
      <c r="F271" s="69">
        <f>INDEX('BDEW-H25 Tagessummen'!$C$4:$C$39, MATCH(C271&amp;"_"&amp;E271, 'BDEW-H25 Tagessummen'!$D$4:$D$39, 0))</f>
        <v>3040.3609999999994</v>
      </c>
      <c r="G271" s="69">
        <f t="shared" si="40"/>
        <v>0.90473127999999969</v>
      </c>
      <c r="H271" s="69">
        <f>Tabelle1[[#This Row],[Profilwert (kWh)]]*Tabelle1[[#This Row],[Dynamisierungsfaktor]]</f>
        <v>2750.7096991920785</v>
      </c>
      <c r="I271" s="69">
        <f>Annahmen!$B$5*(H271/SUM($H$2:$H$366))</f>
        <v>13.75949738648127</v>
      </c>
      <c r="J271" s="69">
        <f>Annahmen!$B$6</f>
        <v>130</v>
      </c>
      <c r="K271" s="69">
        <f t="shared" si="44"/>
        <v>1788.734660242565</v>
      </c>
      <c r="L271" s="69">
        <f>I271*Annahmen!$B$7</f>
        <v>9.6316481705368879</v>
      </c>
      <c r="M271" s="69">
        <f>I271*(1-Annahmen!$B$7)</f>
        <v>4.1278492159443818</v>
      </c>
      <c r="N271" s="69">
        <f>Annahmen!$B$8</f>
        <v>78</v>
      </c>
      <c r="O271" s="72">
        <f>INDEX(Quelle_SMARD_Preise_2025!$C$11:$C$375, MATCH($A271,Quelle_SMARD_Preise_2025!$A$11:$A$375, 0))</f>
        <v>92.8</v>
      </c>
      <c r="P271" s="69">
        <f t="shared" si="45"/>
        <v>751.26855730187731</v>
      </c>
      <c r="Q271" s="69">
        <f t="shared" si="46"/>
        <v>383.06440723963863</v>
      </c>
      <c r="R271" s="73">
        <f>Annahmen!$B$9</f>
        <v>0.05</v>
      </c>
      <c r="S271" s="69">
        <f t="shared" si="47"/>
        <v>0.68797486932406349</v>
      </c>
      <c r="T271" s="69">
        <f t="shared" si="48"/>
        <v>0</v>
      </c>
      <c r="U271" s="74">
        <f>$O271+Annahmen!$B$10+(T271*Annahmen!$B$11)</f>
        <v>100.8</v>
      </c>
      <c r="V271" s="74">
        <f t="shared" si="41"/>
        <v>69.347866827865602</v>
      </c>
      <c r="W271" s="74">
        <f t="shared" si="49"/>
        <v>585.05382887318353</v>
      </c>
    </row>
    <row r="272" spans="1:23" x14ac:dyDescent="0.35">
      <c r="A272" s="70">
        <v>45928</v>
      </c>
      <c r="B272" s="71" t="str">
        <f t="shared" si="42"/>
        <v>So</v>
      </c>
      <c r="C272" s="69">
        <f t="shared" si="43"/>
        <v>9</v>
      </c>
      <c r="D272" s="69">
        <v>271</v>
      </c>
      <c r="E272" s="69" t="str">
        <f>IF(OR(COUNTIF(Feiertage_Hessen_2025!$C$4:$C$13,A272)&gt;0,WEEKDAY(A272,2)=7),"FT",IF(WEEKDAY(A272,2)=6,"SA","WT"))</f>
        <v>FT</v>
      </c>
      <c r="F272" s="69">
        <f>INDEX('BDEW-H25 Tagessummen'!$C$4:$C$39, MATCH(C272&amp;"_"&amp;E272, 'BDEW-H25 Tagessummen'!$D$4:$D$39, 0))</f>
        <v>3190.4380000000001</v>
      </c>
      <c r="G272" s="69">
        <f t="shared" si="40"/>
        <v>0.90806177144800071</v>
      </c>
      <c r="H272" s="69">
        <f>Tabelle1[[#This Row],[Profilwert (kWh)]]*Tabelle1[[#This Row],[Dynamisierungsfaktor]]</f>
        <v>2897.1147819750167</v>
      </c>
      <c r="I272" s="69">
        <f>Annahmen!$B$5*(H272/SUM($H$2:$H$366))</f>
        <v>14.491839426977617</v>
      </c>
      <c r="J272" s="69">
        <f>Annahmen!$B$6</f>
        <v>130</v>
      </c>
      <c r="K272" s="69">
        <f t="shared" si="44"/>
        <v>1883.9391255070902</v>
      </c>
      <c r="L272" s="69">
        <f>I272*Annahmen!$B$7</f>
        <v>10.144287598884331</v>
      </c>
      <c r="M272" s="69">
        <f>I272*(1-Annahmen!$B$7)</f>
        <v>4.3475518280932857</v>
      </c>
      <c r="N272" s="69">
        <f>Annahmen!$B$8</f>
        <v>78</v>
      </c>
      <c r="O272" s="72">
        <f>INDEX(Quelle_SMARD_Preise_2025!$C$11:$C$375, MATCH($A272,Quelle_SMARD_Preise_2025!$A$11:$A$375, 0))</f>
        <v>87.18</v>
      </c>
      <c r="P272" s="69">
        <f t="shared" si="45"/>
        <v>791.25443271297786</v>
      </c>
      <c r="Q272" s="69">
        <f t="shared" si="46"/>
        <v>379.01956837317266</v>
      </c>
      <c r="R272" s="73">
        <f>Annahmen!$B$9</f>
        <v>0.05</v>
      </c>
      <c r="S272" s="69">
        <f t="shared" si="47"/>
        <v>0.72459197134888087</v>
      </c>
      <c r="T272" s="69">
        <f t="shared" si="48"/>
        <v>0</v>
      </c>
      <c r="U272" s="74">
        <f>$O272+Annahmen!$B$10+(T272*Annahmen!$B$11)</f>
        <v>95.18</v>
      </c>
      <c r="V272" s="74">
        <f t="shared" si="41"/>
        <v>68.966663832986484</v>
      </c>
      <c r="W272" s="74">
        <f t="shared" si="49"/>
        <v>644.69846058795326</v>
      </c>
    </row>
    <row r="273" spans="1:23" x14ac:dyDescent="0.35">
      <c r="A273" s="70">
        <v>45929</v>
      </c>
      <c r="B273" s="71" t="str">
        <f t="shared" si="42"/>
        <v>Mo</v>
      </c>
      <c r="C273" s="69">
        <f t="shared" si="43"/>
        <v>9</v>
      </c>
      <c r="D273" s="69">
        <v>272</v>
      </c>
      <c r="E273" s="69" t="str">
        <f>IF(OR(COUNTIF(Feiertage_Hessen_2025!$C$4:$C$13,A273)&gt;0,WEEKDAY(A273,2)=7),"FT",IF(WEEKDAY(A273,2)=6,"SA","WT"))</f>
        <v>WT</v>
      </c>
      <c r="F273" s="69">
        <f>INDEX('BDEW-H25 Tagessummen'!$C$4:$C$39, MATCH(C273&amp;"_"&amp;E273, 'BDEW-H25 Tagessummen'!$D$4:$D$39, 0))</f>
        <v>2656.0739999999996</v>
      </c>
      <c r="G273" s="69">
        <f t="shared" si="40"/>
        <v>0.9114267156480006</v>
      </c>
      <c r="H273" s="69">
        <f>Tabelle1[[#This Row],[Profilwert (kWh)]]*Tabelle1[[#This Row],[Dynamisierungsfaktor]]</f>
        <v>2420.8168023380472</v>
      </c>
      <c r="I273" s="69">
        <f>Annahmen!$B$5*(H273/SUM($H$2:$H$366))</f>
        <v>12.10931945115971</v>
      </c>
      <c r="J273" s="69">
        <f>Annahmen!$B$6</f>
        <v>130</v>
      </c>
      <c r="K273" s="69">
        <f t="shared" si="44"/>
        <v>1574.2115286507624</v>
      </c>
      <c r="L273" s="69">
        <f>I273*Annahmen!$B$7</f>
        <v>8.4765236158117965</v>
      </c>
      <c r="M273" s="69">
        <f>I273*(1-Annahmen!$B$7)</f>
        <v>3.6327958353479133</v>
      </c>
      <c r="N273" s="69">
        <f>Annahmen!$B$8</f>
        <v>78</v>
      </c>
      <c r="O273" s="72">
        <f>INDEX(Quelle_SMARD_Preise_2025!$C$11:$C$375, MATCH($A273,Quelle_SMARD_Preise_2025!$A$11:$A$375, 0))</f>
        <v>130.57</v>
      </c>
      <c r="P273" s="69">
        <f t="shared" si="45"/>
        <v>661.16884203332017</v>
      </c>
      <c r="Q273" s="69">
        <f t="shared" si="46"/>
        <v>474.334152221377</v>
      </c>
      <c r="R273" s="73">
        <f>Annahmen!$B$9</f>
        <v>0.05</v>
      </c>
      <c r="S273" s="69">
        <f t="shared" si="47"/>
        <v>0.60546597255798551</v>
      </c>
      <c r="T273" s="69">
        <f t="shared" si="48"/>
        <v>0</v>
      </c>
      <c r="U273" s="74">
        <f>$O273+Annahmen!$B$10+(T273*Annahmen!$B$11)</f>
        <v>138.57</v>
      </c>
      <c r="V273" s="74">
        <f t="shared" si="41"/>
        <v>83.899419817360041</v>
      </c>
      <c r="W273" s="74">
        <f t="shared" si="49"/>
        <v>354.80911457870513</v>
      </c>
    </row>
    <row r="274" spans="1:23" x14ac:dyDescent="0.35">
      <c r="A274" s="70">
        <v>45930</v>
      </c>
      <c r="B274" s="71" t="str">
        <f t="shared" si="42"/>
        <v>Di</v>
      </c>
      <c r="C274" s="69">
        <f t="shared" si="43"/>
        <v>9</v>
      </c>
      <c r="D274" s="69">
        <v>273</v>
      </c>
      <c r="E274" s="69" t="str">
        <f>IF(OR(COUNTIF(Feiertage_Hessen_2025!$C$4:$C$13,A274)&gt;0,WEEKDAY(A274,2)=7),"FT",IF(WEEKDAY(A274,2)=6,"SA","WT"))</f>
        <v>WT</v>
      </c>
      <c r="F274" s="69">
        <f>INDEX('BDEW-H25 Tagessummen'!$C$4:$C$39, MATCH(C274&amp;"_"&amp;E274, 'BDEW-H25 Tagessummen'!$D$4:$D$39, 0))</f>
        <v>2656.0739999999996</v>
      </c>
      <c r="G274" s="69">
        <f t="shared" si="40"/>
        <v>0.91482547832800087</v>
      </c>
      <c r="H274" s="69">
        <f>Tabelle1[[#This Row],[Profilwert (kWh)]]*Tabelle1[[#This Row],[Dynamisierungsfaktor]]</f>
        <v>2429.8441675245663</v>
      </c>
      <c r="I274" s="69">
        <f>Annahmen!$B$5*(H274/SUM($H$2:$H$366))</f>
        <v>12.154475800347413</v>
      </c>
      <c r="J274" s="69">
        <f>Annahmen!$B$6</f>
        <v>130</v>
      </c>
      <c r="K274" s="69">
        <f t="shared" si="44"/>
        <v>1580.0818540451637</v>
      </c>
      <c r="L274" s="69">
        <f>I274*Annahmen!$B$7</f>
        <v>8.508133060243189</v>
      </c>
      <c r="M274" s="69">
        <f>I274*(1-Annahmen!$B$7)</f>
        <v>3.6463427401042243</v>
      </c>
      <c r="N274" s="69">
        <f>Annahmen!$B$8</f>
        <v>78</v>
      </c>
      <c r="O274" s="72">
        <f>INDEX(Quelle_SMARD_Preise_2025!$C$11:$C$375, MATCH($A274,Quelle_SMARD_Preise_2025!$A$11:$A$375, 0))</f>
        <v>136.16999999999999</v>
      </c>
      <c r="P274" s="69">
        <f t="shared" si="45"/>
        <v>663.6343786989687</v>
      </c>
      <c r="Q274" s="69">
        <f t="shared" si="46"/>
        <v>496.52249091999221</v>
      </c>
      <c r="R274" s="73">
        <f>Annahmen!$B$9</f>
        <v>0.05</v>
      </c>
      <c r="S274" s="69">
        <f t="shared" si="47"/>
        <v>0.60772379001737065</v>
      </c>
      <c r="T274" s="69">
        <f t="shared" si="48"/>
        <v>0</v>
      </c>
      <c r="U274" s="74">
        <f>$O274+Annahmen!$B$10+(T274*Annahmen!$B$11)</f>
        <v>144.16999999999999</v>
      </c>
      <c r="V274" s="74">
        <f t="shared" si="41"/>
        <v>87.615538806804324</v>
      </c>
      <c r="W274" s="74">
        <f t="shared" si="49"/>
        <v>332.3094456193985</v>
      </c>
    </row>
    <row r="275" spans="1:23" x14ac:dyDescent="0.35">
      <c r="A275" s="70">
        <v>45931</v>
      </c>
      <c r="B275" s="71" t="str">
        <f t="shared" si="42"/>
        <v>Mi</v>
      </c>
      <c r="C275" s="69">
        <f t="shared" si="43"/>
        <v>10</v>
      </c>
      <c r="D275" s="69">
        <v>274</v>
      </c>
      <c r="E275" s="69" t="str">
        <f>IF(OR(COUNTIF(Feiertage_Hessen_2025!$C$4:$C$13,A275)&gt;0,WEEKDAY(A275,2)=7),"FT",IF(WEEKDAY(A275,2)=6,"SA","WT"))</f>
        <v>WT</v>
      </c>
      <c r="F275" s="69">
        <f>INDEX('BDEW-H25 Tagessummen'!$C$4:$C$39, MATCH(C275&amp;"_"&amp;E275, 'BDEW-H25 Tagessummen'!$D$4:$D$39, 0))</f>
        <v>2633.5770000000007</v>
      </c>
      <c r="G275" s="69">
        <f t="shared" si="40"/>
        <v>0.9182574158080008</v>
      </c>
      <c r="H275" s="69">
        <f>Tabelle1[[#This Row],[Profilwert (kWh)]]*Tabelle1[[#This Row],[Dynamisierungsfaktor]]</f>
        <v>2418.3016103513878</v>
      </c>
      <c r="I275" s="69">
        <f>Annahmen!$B$5*(H275/SUM($H$2:$H$366))</f>
        <v>12.09673805168411</v>
      </c>
      <c r="J275" s="69">
        <f>Annahmen!$B$6</f>
        <v>130</v>
      </c>
      <c r="K275" s="69">
        <f t="shared" si="44"/>
        <v>1572.5759467189343</v>
      </c>
      <c r="L275" s="69">
        <f>I275*Annahmen!$B$7</f>
        <v>8.467716636178876</v>
      </c>
      <c r="M275" s="69">
        <f>I275*(1-Annahmen!$B$7)</f>
        <v>3.6290214155052336</v>
      </c>
      <c r="N275" s="69">
        <f>Annahmen!$B$8</f>
        <v>78</v>
      </c>
      <c r="O275" s="72">
        <f>INDEX(Quelle_SMARD_Preise_2025!$C$11:$C$375, MATCH($A275,Quelle_SMARD_Preise_2025!$A$11:$A$375, 0))</f>
        <v>116.57</v>
      </c>
      <c r="P275" s="69">
        <f t="shared" si="45"/>
        <v>660.48189762195238</v>
      </c>
      <c r="Q275" s="69">
        <f t="shared" si="46"/>
        <v>423.03502640544508</v>
      </c>
      <c r="R275" s="73">
        <f>Annahmen!$B$9</f>
        <v>0.05</v>
      </c>
      <c r="S275" s="69">
        <f t="shared" si="47"/>
        <v>0.60483690258420553</v>
      </c>
      <c r="T275" s="69">
        <f t="shared" si="48"/>
        <v>0</v>
      </c>
      <c r="U275" s="74">
        <f>$O275+Annahmen!$B$10+(T275*Annahmen!$B$11)</f>
        <v>124.57</v>
      </c>
      <c r="V275" s="74">
        <f t="shared" si="41"/>
        <v>75.344532954914484</v>
      </c>
      <c r="W275" s="74">
        <f t="shared" si="49"/>
        <v>413.7144897366224</v>
      </c>
    </row>
    <row r="276" spans="1:23" x14ac:dyDescent="0.35">
      <c r="A276" s="70">
        <v>45932</v>
      </c>
      <c r="B276" s="71" t="str">
        <f t="shared" si="42"/>
        <v>Do</v>
      </c>
      <c r="C276" s="69">
        <f t="shared" si="43"/>
        <v>10</v>
      </c>
      <c r="D276" s="69">
        <v>275</v>
      </c>
      <c r="E276" s="69" t="str">
        <f>IF(OR(COUNTIF(Feiertage_Hessen_2025!$C$4:$C$13,A276)&gt;0,WEEKDAY(A276,2)=7),"FT",IF(WEEKDAY(A276,2)=6,"SA","WT"))</f>
        <v>WT</v>
      </c>
      <c r="F276" s="69">
        <f>INDEX('BDEW-H25 Tagessummen'!$C$4:$C$39, MATCH(C276&amp;"_"&amp;E276, 'BDEW-H25 Tagessummen'!$D$4:$D$39, 0))</f>
        <v>2633.5770000000007</v>
      </c>
      <c r="G276" s="69">
        <f t="shared" si="40"/>
        <v>0.92172187500000136</v>
      </c>
      <c r="H276" s="69">
        <f>Tabelle1[[#This Row],[Profilwert (kWh)]]*Tabelle1[[#This Row],[Dynamisierungsfaktor]]</f>
        <v>2427.4255303968794</v>
      </c>
      <c r="I276" s="69">
        <f>Annahmen!$B$5*(H276/SUM($H$2:$H$366))</f>
        <v>12.142377383983437</v>
      </c>
      <c r="J276" s="69">
        <f>Annahmen!$B$6</f>
        <v>130</v>
      </c>
      <c r="K276" s="69">
        <f t="shared" si="44"/>
        <v>1578.5090599178468</v>
      </c>
      <c r="L276" s="69">
        <f>I276*Annahmen!$B$7</f>
        <v>8.4996641687884047</v>
      </c>
      <c r="M276" s="69">
        <f>I276*(1-Annahmen!$B$7)</f>
        <v>3.6427132151950317</v>
      </c>
      <c r="N276" s="69">
        <f>Annahmen!$B$8</f>
        <v>78</v>
      </c>
      <c r="O276" s="72">
        <f>INDEX(Quelle_SMARD_Preise_2025!$C$11:$C$375, MATCH($A276,Quelle_SMARD_Preise_2025!$A$11:$A$375, 0))</f>
        <v>102.7</v>
      </c>
      <c r="P276" s="69">
        <f t="shared" si="45"/>
        <v>662.97380516549561</v>
      </c>
      <c r="Q276" s="69">
        <f t="shared" si="46"/>
        <v>374.10664720052978</v>
      </c>
      <c r="R276" s="73">
        <f>Annahmen!$B$9</f>
        <v>0.05</v>
      </c>
      <c r="S276" s="69">
        <f t="shared" si="47"/>
        <v>0.60711886919917191</v>
      </c>
      <c r="T276" s="69">
        <f t="shared" si="48"/>
        <v>0</v>
      </c>
      <c r="U276" s="74">
        <f>$O276+Annahmen!$B$10+(T276*Annahmen!$B$11)</f>
        <v>110.7</v>
      </c>
      <c r="V276" s="74">
        <f t="shared" si="41"/>
        <v>67.208058820348327</v>
      </c>
      <c r="W276" s="74">
        <f t="shared" si="49"/>
        <v>474.22054873147306</v>
      </c>
    </row>
    <row r="277" spans="1:23" x14ac:dyDescent="0.35">
      <c r="A277" s="70">
        <v>45933</v>
      </c>
      <c r="B277" s="71" t="str">
        <f t="shared" si="42"/>
        <v>Fr</v>
      </c>
      <c r="C277" s="69">
        <f t="shared" si="43"/>
        <v>10</v>
      </c>
      <c r="D277" s="69">
        <v>276</v>
      </c>
      <c r="E277" s="69" t="str">
        <f>IF(OR(COUNTIF(Feiertage_Hessen_2025!$C$4:$C$13,A277)&gt;0,WEEKDAY(A277,2)=7),"FT",IF(WEEKDAY(A277,2)=6,"SA","WT"))</f>
        <v>FT</v>
      </c>
      <c r="F277" s="69">
        <f>INDEX('BDEW-H25 Tagessummen'!$C$4:$C$39, MATCH(C277&amp;"_"&amp;E277, 'BDEW-H25 Tagessummen'!$D$4:$D$39, 0))</f>
        <v>3127.2450000000008</v>
      </c>
      <c r="G277" s="69">
        <f t="shared" si="40"/>
        <v>0.9252181934080006</v>
      </c>
      <c r="H277" s="69">
        <f>Tabelle1[[#This Row],[Profilwert (kWh)]]*Tabelle1[[#This Row],[Dynamisierungsfaktor]]</f>
        <v>2893.3839692442034</v>
      </c>
      <c r="I277" s="69">
        <f>Annahmen!$B$5*(H277/SUM($H$2:$H$366))</f>
        <v>14.473177294788909</v>
      </c>
      <c r="J277" s="69">
        <f>Annahmen!$B$6</f>
        <v>130</v>
      </c>
      <c r="K277" s="69">
        <f t="shared" si="44"/>
        <v>1881.5130483225582</v>
      </c>
      <c r="L277" s="69">
        <f>I277*Annahmen!$B$7</f>
        <v>10.131224106352237</v>
      </c>
      <c r="M277" s="69">
        <f>I277*(1-Annahmen!$B$7)</f>
        <v>4.3419531884366735</v>
      </c>
      <c r="N277" s="69">
        <f>Annahmen!$B$8</f>
        <v>78</v>
      </c>
      <c r="O277" s="72">
        <f>INDEX(Quelle_SMARD_Preise_2025!$C$11:$C$375, MATCH($A277,Quelle_SMARD_Preise_2025!$A$11:$A$375, 0))</f>
        <v>66.760000000000005</v>
      </c>
      <c r="P277" s="69">
        <f t="shared" si="45"/>
        <v>790.23548029547442</v>
      </c>
      <c r="Q277" s="69">
        <f t="shared" si="46"/>
        <v>289.86879486003232</v>
      </c>
      <c r="R277" s="73">
        <f>Annahmen!$B$9</f>
        <v>0.05</v>
      </c>
      <c r="S277" s="69">
        <f t="shared" si="47"/>
        <v>0.72365886473944552</v>
      </c>
      <c r="T277" s="69">
        <f t="shared" si="48"/>
        <v>0</v>
      </c>
      <c r="U277" s="74">
        <f>$O277+Annahmen!$B$10+(T277*Annahmen!$B$11)</f>
        <v>74.760000000000005</v>
      </c>
      <c r="V277" s="74">
        <f t="shared" si="41"/>
        <v>54.100736727920953</v>
      </c>
      <c r="W277" s="74">
        <f t="shared" si="49"/>
        <v>747.30803643913055</v>
      </c>
    </row>
    <row r="278" spans="1:23" x14ac:dyDescent="0.35">
      <c r="A278" s="70">
        <v>45934</v>
      </c>
      <c r="B278" s="71" t="str">
        <f t="shared" si="42"/>
        <v>Sa</v>
      </c>
      <c r="C278" s="69">
        <f t="shared" si="43"/>
        <v>10</v>
      </c>
      <c r="D278" s="69">
        <v>277</v>
      </c>
      <c r="E278" s="69" t="str">
        <f>IF(OR(COUNTIF(Feiertage_Hessen_2025!$C$4:$C$13,A278)&gt;0,WEEKDAY(A278,2)=7),"FT",IF(WEEKDAY(A278,2)=6,"SA","WT"))</f>
        <v>SA</v>
      </c>
      <c r="F278" s="69">
        <f>INDEX('BDEW-H25 Tagessummen'!$C$4:$C$39, MATCH(C278&amp;"_"&amp;E278, 'BDEW-H25 Tagessummen'!$D$4:$D$39, 0))</f>
        <v>2972.8519999999994</v>
      </c>
      <c r="G278" s="69">
        <f t="shared" si="40"/>
        <v>0.92874569912800031</v>
      </c>
      <c r="H278" s="69">
        <f>Tabelle1[[#This Row],[Profilwert (kWh)]]*Tabelle1[[#This Row],[Dynamisierungsfaktor]]</f>
        <v>2761.0235091440736</v>
      </c>
      <c r="I278" s="69">
        <f>Annahmen!$B$5*(H278/SUM($H$2:$H$366))</f>
        <v>13.811088741658018</v>
      </c>
      <c r="J278" s="69">
        <f>Annahmen!$B$6</f>
        <v>130</v>
      </c>
      <c r="K278" s="69">
        <f t="shared" si="44"/>
        <v>1795.4415364155425</v>
      </c>
      <c r="L278" s="69">
        <f>I278*Annahmen!$B$7</f>
        <v>9.6677621191606118</v>
      </c>
      <c r="M278" s="69">
        <f>I278*(1-Annahmen!$B$7)</f>
        <v>4.1433266224974057</v>
      </c>
      <c r="N278" s="69">
        <f>Annahmen!$B$8</f>
        <v>78</v>
      </c>
      <c r="O278" s="72">
        <f>INDEX(Quelle_SMARD_Preise_2025!$C$11:$C$375, MATCH($A278,Quelle_SMARD_Preise_2025!$A$11:$A$375, 0))</f>
        <v>-0.28999999999999998</v>
      </c>
      <c r="P278" s="69">
        <f t="shared" si="45"/>
        <v>754.08544529452774</v>
      </c>
      <c r="Q278" s="69">
        <f t="shared" si="46"/>
        <v>-1.2015647205242477</v>
      </c>
      <c r="R278" s="73">
        <f>Annahmen!$B$9</f>
        <v>0.05</v>
      </c>
      <c r="S278" s="69">
        <f t="shared" si="47"/>
        <v>0.69055443708290098</v>
      </c>
      <c r="T278" s="69">
        <f t="shared" si="48"/>
        <v>0</v>
      </c>
      <c r="U278" s="74">
        <f>$O278+Annahmen!$B$10+(T278*Annahmen!$B$11)</f>
        <v>7.71</v>
      </c>
      <c r="V278" s="74">
        <f t="shared" si="41"/>
        <v>5.3241747099091663</v>
      </c>
      <c r="W278" s="74">
        <f t="shared" si="49"/>
        <v>1037.2334811316298</v>
      </c>
    </row>
    <row r="279" spans="1:23" x14ac:dyDescent="0.35">
      <c r="A279" s="70">
        <v>45935</v>
      </c>
      <c r="B279" s="71" t="str">
        <f t="shared" si="42"/>
        <v>So</v>
      </c>
      <c r="C279" s="69">
        <f t="shared" si="43"/>
        <v>10</v>
      </c>
      <c r="D279" s="69">
        <v>278</v>
      </c>
      <c r="E279" s="69" t="str">
        <f>IF(OR(COUNTIF(Feiertage_Hessen_2025!$C$4:$C$13,A279)&gt;0,WEEKDAY(A279,2)=7),"FT",IF(WEEKDAY(A279,2)=6,"SA","WT"))</f>
        <v>FT</v>
      </c>
      <c r="F279" s="69">
        <f>INDEX('BDEW-H25 Tagessummen'!$C$4:$C$39, MATCH(C279&amp;"_"&amp;E279, 'BDEW-H25 Tagessummen'!$D$4:$D$39, 0))</f>
        <v>3127.2450000000008</v>
      </c>
      <c r="G279" s="69">
        <f t="shared" si="40"/>
        <v>0.9323037108479999</v>
      </c>
      <c r="H279" s="69">
        <f>Tabelle1[[#This Row],[Profilwert (kWh)]]*Tabelle1[[#This Row],[Dynamisierungsfaktor]]</f>
        <v>2915.5421182308542</v>
      </c>
      <c r="I279" s="69">
        <f>Annahmen!$B$5*(H279/SUM($H$2:$H$366))</f>
        <v>14.584015960592369</v>
      </c>
      <c r="J279" s="69">
        <f>Annahmen!$B$6</f>
        <v>130</v>
      </c>
      <c r="K279" s="69">
        <f t="shared" si="44"/>
        <v>1895.9220748770081</v>
      </c>
      <c r="L279" s="69">
        <f>I279*Annahmen!$B$7</f>
        <v>10.208811172414658</v>
      </c>
      <c r="M279" s="69">
        <f>I279*(1-Annahmen!$B$7)</f>
        <v>4.3752047881777116</v>
      </c>
      <c r="N279" s="69">
        <f>Annahmen!$B$8</f>
        <v>78</v>
      </c>
      <c r="O279" s="72">
        <f>INDEX(Quelle_SMARD_Preise_2025!$C$11:$C$375, MATCH($A279,Quelle_SMARD_Preise_2025!$A$11:$A$375, 0))</f>
        <v>1.73</v>
      </c>
      <c r="P279" s="69">
        <f t="shared" si="45"/>
        <v>796.28727144834329</v>
      </c>
      <c r="Q279" s="69">
        <f t="shared" si="46"/>
        <v>7.5691042835474409</v>
      </c>
      <c r="R279" s="73">
        <f>Annahmen!$B$9</f>
        <v>0.05</v>
      </c>
      <c r="S279" s="69">
        <f t="shared" si="47"/>
        <v>0.72920079802961846</v>
      </c>
      <c r="T279" s="69">
        <f t="shared" si="48"/>
        <v>0</v>
      </c>
      <c r="U279" s="74">
        <f>$O279+Annahmen!$B$10+(T279*Annahmen!$B$11)</f>
        <v>9.73</v>
      </c>
      <c r="V279" s="74">
        <f t="shared" si="41"/>
        <v>7.0951237648281875</v>
      </c>
      <c r="W279" s="74">
        <f t="shared" si="49"/>
        <v>1084.9705753802891</v>
      </c>
    </row>
    <row r="280" spans="1:23" x14ac:dyDescent="0.35">
      <c r="A280" s="70">
        <v>45936</v>
      </c>
      <c r="B280" s="71" t="str">
        <f t="shared" si="42"/>
        <v>Mo</v>
      </c>
      <c r="C280" s="69">
        <f t="shared" si="43"/>
        <v>10</v>
      </c>
      <c r="D280" s="69">
        <v>279</v>
      </c>
      <c r="E280" s="69" t="str">
        <f>IF(OR(COUNTIF(Feiertage_Hessen_2025!$C$4:$C$13,A280)&gt;0,WEEKDAY(A280,2)=7),"FT",IF(WEEKDAY(A280,2)=6,"SA","WT"))</f>
        <v>WT</v>
      </c>
      <c r="F280" s="69">
        <f>INDEX('BDEW-H25 Tagessummen'!$C$4:$C$39, MATCH(C280&amp;"_"&amp;E280, 'BDEW-H25 Tagessummen'!$D$4:$D$39, 0))</f>
        <v>2633.5770000000007</v>
      </c>
      <c r="G280" s="69">
        <f t="shared" si="40"/>
        <v>0.93589153784799994</v>
      </c>
      <c r="H280" s="69">
        <f>Tabelle1[[#This Row],[Profilwert (kWh)]]*Tabelle1[[#This Row],[Dynamisierungsfaktor]]</f>
        <v>2464.7424285711227</v>
      </c>
      <c r="I280" s="69">
        <f>Annahmen!$B$5*(H280/SUM($H$2:$H$366))</f>
        <v>12.329042579169572</v>
      </c>
      <c r="J280" s="69">
        <f>Annahmen!$B$6</f>
        <v>130</v>
      </c>
      <c r="K280" s="69">
        <f t="shared" si="44"/>
        <v>1602.7755352920444</v>
      </c>
      <c r="L280" s="69">
        <f>I280*Annahmen!$B$7</f>
        <v>8.6303298054187003</v>
      </c>
      <c r="M280" s="69">
        <f>I280*(1-Annahmen!$B$7)</f>
        <v>3.6987127737508723</v>
      </c>
      <c r="N280" s="69">
        <f>Annahmen!$B$8</f>
        <v>78</v>
      </c>
      <c r="O280" s="72">
        <f>INDEX(Quelle_SMARD_Preise_2025!$C$11:$C$375, MATCH($A280,Quelle_SMARD_Preise_2025!$A$11:$A$375, 0))</f>
        <v>86.18</v>
      </c>
      <c r="P280" s="69">
        <f t="shared" si="45"/>
        <v>673.1657248226586</v>
      </c>
      <c r="Q280" s="69">
        <f t="shared" si="46"/>
        <v>318.75506684185018</v>
      </c>
      <c r="R280" s="73">
        <f>Annahmen!$B$9</f>
        <v>0.05</v>
      </c>
      <c r="S280" s="69">
        <f t="shared" si="47"/>
        <v>0.61645212895847867</v>
      </c>
      <c r="T280" s="69">
        <f t="shared" si="48"/>
        <v>0</v>
      </c>
      <c r="U280" s="74">
        <f>$O280+Annahmen!$B$10+(T280*Annahmen!$B$11)</f>
        <v>94.18</v>
      </c>
      <c r="V280" s="74">
        <f t="shared" si="41"/>
        <v>58.057461505309526</v>
      </c>
      <c r="W280" s="74">
        <f t="shared" si="49"/>
        <v>552.79728212222608</v>
      </c>
    </row>
    <row r="281" spans="1:23" x14ac:dyDescent="0.35">
      <c r="A281" s="70">
        <v>45937</v>
      </c>
      <c r="B281" s="71" t="str">
        <f t="shared" si="42"/>
        <v>Di</v>
      </c>
      <c r="C281" s="69">
        <f t="shared" si="43"/>
        <v>10</v>
      </c>
      <c r="D281" s="69">
        <v>280</v>
      </c>
      <c r="E281" s="69" t="str">
        <f>IF(OR(COUNTIF(Feiertage_Hessen_2025!$C$4:$C$13,A281)&gt;0,WEEKDAY(A281,2)=7),"FT",IF(WEEKDAY(A281,2)=6,"SA","WT"))</f>
        <v>WT</v>
      </c>
      <c r="F281" s="69">
        <f>INDEX('BDEW-H25 Tagessummen'!$C$4:$C$39, MATCH(C281&amp;"_"&amp;E281, 'BDEW-H25 Tagessummen'!$D$4:$D$39, 0))</f>
        <v>2633.5770000000007</v>
      </c>
      <c r="G281" s="69">
        <f t="shared" si="40"/>
        <v>0.93950848000000042</v>
      </c>
      <c r="H281" s="69">
        <f>Tabelle1[[#This Row],[Profilwert (kWh)]]*Tabelle1[[#This Row],[Dynamisierungsfaktor]]</f>
        <v>2474.2679242329618</v>
      </c>
      <c r="I281" s="69">
        <f>Annahmen!$B$5*(H281/SUM($H$2:$H$366))</f>
        <v>12.3766906580281</v>
      </c>
      <c r="J281" s="69">
        <f>Annahmen!$B$6</f>
        <v>130</v>
      </c>
      <c r="K281" s="69">
        <f t="shared" si="44"/>
        <v>1608.969785543653</v>
      </c>
      <c r="L281" s="69">
        <f>I281*Annahmen!$B$7</f>
        <v>8.6636834606196693</v>
      </c>
      <c r="M281" s="69">
        <f>I281*(1-Annahmen!$B$7)</f>
        <v>3.7130071974084302</v>
      </c>
      <c r="N281" s="69">
        <f>Annahmen!$B$8</f>
        <v>78</v>
      </c>
      <c r="O281" s="72">
        <f>INDEX(Quelle_SMARD_Preise_2025!$C$11:$C$375, MATCH($A281,Quelle_SMARD_Preise_2025!$A$11:$A$375, 0))</f>
        <v>137.96</v>
      </c>
      <c r="P281" s="69">
        <f t="shared" si="45"/>
        <v>675.76730992833416</v>
      </c>
      <c r="Q281" s="69">
        <f t="shared" si="46"/>
        <v>512.24647295446709</v>
      </c>
      <c r="R281" s="73">
        <f>Annahmen!$B$9</f>
        <v>0.05</v>
      </c>
      <c r="S281" s="69">
        <f t="shared" si="47"/>
        <v>0.618834532901405</v>
      </c>
      <c r="T281" s="69">
        <f t="shared" si="48"/>
        <v>0</v>
      </c>
      <c r="U281" s="74">
        <f>$O281+Annahmen!$B$10+(T281*Annahmen!$B$11)</f>
        <v>145.96</v>
      </c>
      <c r="V281" s="74">
        <f t="shared" si="41"/>
        <v>90.325088422289085</v>
      </c>
      <c r="W281" s="74">
        <f t="shared" si="49"/>
        <v>330.63091423856264</v>
      </c>
    </row>
    <row r="282" spans="1:23" x14ac:dyDescent="0.35">
      <c r="A282" s="70">
        <v>45938</v>
      </c>
      <c r="B282" s="71" t="str">
        <f t="shared" si="42"/>
        <v>Mi</v>
      </c>
      <c r="C282" s="69">
        <f t="shared" si="43"/>
        <v>10</v>
      </c>
      <c r="D282" s="69">
        <v>281</v>
      </c>
      <c r="E282" s="69" t="str">
        <f>IF(OR(COUNTIF(Feiertage_Hessen_2025!$C$4:$C$13,A282)&gt;0,WEEKDAY(A282,2)=7),"FT",IF(WEEKDAY(A282,2)=6,"SA","WT"))</f>
        <v>WT</v>
      </c>
      <c r="F282" s="69">
        <f>INDEX('BDEW-H25 Tagessummen'!$C$4:$C$39, MATCH(C282&amp;"_"&amp;E282, 'BDEW-H25 Tagessummen'!$D$4:$D$39, 0))</f>
        <v>2633.5770000000007</v>
      </c>
      <c r="G282" s="69">
        <f t="shared" si="40"/>
        <v>0.94315382776800072</v>
      </c>
      <c r="H282" s="69">
        <f>Tabelle1[[#This Row],[Profilwert (kWh)]]*Tabelle1[[#This Row],[Dynamisierungsfaktor]]</f>
        <v>2483.8682282717687</v>
      </c>
      <c r="I282" s="69">
        <f>Annahmen!$B$5*(H282/SUM($H$2:$H$366))</f>
        <v>12.424712940557653</v>
      </c>
      <c r="J282" s="69">
        <f>Annahmen!$B$6</f>
        <v>130</v>
      </c>
      <c r="K282" s="69">
        <f t="shared" si="44"/>
        <v>1615.2126822724949</v>
      </c>
      <c r="L282" s="69">
        <f>I282*Annahmen!$B$7</f>
        <v>8.6972990583903567</v>
      </c>
      <c r="M282" s="69">
        <f>I282*(1-Annahmen!$B$7)</f>
        <v>3.7274138821672964</v>
      </c>
      <c r="N282" s="69">
        <f>Annahmen!$B$8</f>
        <v>78</v>
      </c>
      <c r="O282" s="72">
        <f>INDEX(Quelle_SMARD_Preise_2025!$C$11:$C$375, MATCH($A282,Quelle_SMARD_Preise_2025!$A$11:$A$375, 0))</f>
        <v>117.58</v>
      </c>
      <c r="P282" s="69">
        <f t="shared" si="45"/>
        <v>678.38932655444785</v>
      </c>
      <c r="Q282" s="69">
        <f t="shared" si="46"/>
        <v>438.26932426523069</v>
      </c>
      <c r="R282" s="73">
        <f>Annahmen!$B$9</f>
        <v>0.05</v>
      </c>
      <c r="S282" s="69">
        <f t="shared" si="47"/>
        <v>0.6212356470278827</v>
      </c>
      <c r="T282" s="69">
        <f t="shared" si="48"/>
        <v>0</v>
      </c>
      <c r="U282" s="74">
        <f>$O282+Annahmen!$B$10+(T282*Annahmen!$B$11)</f>
        <v>125.58</v>
      </c>
      <c r="V282" s="74">
        <f t="shared" si="41"/>
        <v>78.014772553761503</v>
      </c>
      <c r="W282" s="74">
        <f t="shared" si="49"/>
        <v>420.53925889905486</v>
      </c>
    </row>
    <row r="283" spans="1:23" x14ac:dyDescent="0.35">
      <c r="A283" s="70">
        <v>45939</v>
      </c>
      <c r="B283" s="71" t="str">
        <f t="shared" si="42"/>
        <v>Do</v>
      </c>
      <c r="C283" s="69">
        <f t="shared" si="43"/>
        <v>10</v>
      </c>
      <c r="D283" s="69">
        <v>282</v>
      </c>
      <c r="E283" s="69" t="str">
        <f>IF(OR(COUNTIF(Feiertage_Hessen_2025!$C$4:$C$13,A283)&gt;0,WEEKDAY(A283,2)=7),"FT",IF(WEEKDAY(A283,2)=6,"SA","WT"))</f>
        <v>WT</v>
      </c>
      <c r="F283" s="69">
        <f>INDEX('BDEW-H25 Tagessummen'!$C$4:$C$39, MATCH(C283&amp;"_"&amp;E283, 'BDEW-H25 Tagessummen'!$D$4:$D$39, 0))</f>
        <v>2633.5770000000007</v>
      </c>
      <c r="G283" s="69">
        <f t="shared" si="40"/>
        <v>0.9468268622080005</v>
      </c>
      <c r="H283" s="69">
        <f>Tabelle1[[#This Row],[Profilwert (kWh)]]*Tabelle1[[#This Row],[Dynamisierungsfaktor]]</f>
        <v>2493.5414472931598</v>
      </c>
      <c r="I283" s="69">
        <f>Annahmen!$B$5*(H283/SUM($H$2:$H$366))</f>
        <v>12.473099955691524</v>
      </c>
      <c r="J283" s="69">
        <f>Annahmen!$B$6</f>
        <v>130</v>
      </c>
      <c r="K283" s="69">
        <f t="shared" si="44"/>
        <v>1621.502994239898</v>
      </c>
      <c r="L283" s="69">
        <f>I283*Annahmen!$B$7</f>
        <v>8.7311699689840658</v>
      </c>
      <c r="M283" s="69">
        <f>I283*(1-Annahmen!$B$7)</f>
        <v>3.7419299867074578</v>
      </c>
      <c r="N283" s="69">
        <f>Annahmen!$B$8</f>
        <v>78</v>
      </c>
      <c r="O283" s="72">
        <f>INDEX(Quelle_SMARD_Preise_2025!$C$11:$C$375, MATCH($A283,Quelle_SMARD_Preise_2025!$A$11:$A$375, 0))</f>
        <v>104.91</v>
      </c>
      <c r="P283" s="69">
        <f t="shared" si="45"/>
        <v>681.03125758075714</v>
      </c>
      <c r="Q283" s="69">
        <f t="shared" si="46"/>
        <v>392.5658749054794</v>
      </c>
      <c r="R283" s="73">
        <f>Annahmen!$B$9</f>
        <v>0.05</v>
      </c>
      <c r="S283" s="69">
        <f t="shared" si="47"/>
        <v>0.62365499778457623</v>
      </c>
      <c r="T283" s="69">
        <f t="shared" si="48"/>
        <v>0</v>
      </c>
      <c r="U283" s="74">
        <f>$O283+Annahmen!$B$10+(T283*Annahmen!$B$11)</f>
        <v>112.91</v>
      </c>
      <c r="V283" s="74">
        <f t="shared" si="41"/>
        <v>70.416885799856502</v>
      </c>
      <c r="W283" s="74">
        <f t="shared" si="49"/>
        <v>477.48897595380498</v>
      </c>
    </row>
    <row r="284" spans="1:23" x14ac:dyDescent="0.35">
      <c r="A284" s="70">
        <v>45940</v>
      </c>
      <c r="B284" s="71" t="str">
        <f t="shared" si="42"/>
        <v>Fr</v>
      </c>
      <c r="C284" s="69">
        <f t="shared" si="43"/>
        <v>10</v>
      </c>
      <c r="D284" s="69">
        <v>283</v>
      </c>
      <c r="E284" s="69" t="str">
        <f>IF(OR(COUNTIF(Feiertage_Hessen_2025!$C$4:$C$13,A284)&gt;0,WEEKDAY(A284,2)=7),"FT",IF(WEEKDAY(A284,2)=6,"SA","WT"))</f>
        <v>WT</v>
      </c>
      <c r="F284" s="69">
        <f>INDEX('BDEW-H25 Tagessummen'!$C$4:$C$39, MATCH(C284&amp;"_"&amp;E284, 'BDEW-H25 Tagessummen'!$D$4:$D$39, 0))</f>
        <v>2633.5770000000007</v>
      </c>
      <c r="G284" s="69">
        <f t="shared" si="40"/>
        <v>0.95052685496799971</v>
      </c>
      <c r="H284" s="69">
        <f>Tabelle1[[#This Row],[Profilwert (kWh)]]*Tabelle1[[#This Row],[Dynamisierungsfaktor]]</f>
        <v>2503.2856631260606</v>
      </c>
      <c r="I284" s="69">
        <f>Annahmen!$B$5*(H284/SUM($H$2:$H$366))</f>
        <v>12.521842108425957</v>
      </c>
      <c r="J284" s="69">
        <f>Annahmen!$B$6</f>
        <v>130</v>
      </c>
      <c r="K284" s="69">
        <f t="shared" si="44"/>
        <v>1627.8394740953745</v>
      </c>
      <c r="L284" s="69">
        <f>I284*Annahmen!$B$7</f>
        <v>8.7652894758981699</v>
      </c>
      <c r="M284" s="69">
        <f>I284*(1-Annahmen!$B$7)</f>
        <v>3.7565526325277876</v>
      </c>
      <c r="N284" s="69">
        <f>Annahmen!$B$8</f>
        <v>78</v>
      </c>
      <c r="O284" s="72">
        <f>INDEX(Quelle_SMARD_Preise_2025!$C$11:$C$375, MATCH($A284,Quelle_SMARD_Preise_2025!$A$11:$A$375, 0))</f>
        <v>96.41</v>
      </c>
      <c r="P284" s="69">
        <f t="shared" si="45"/>
        <v>683.6925791200573</v>
      </c>
      <c r="Q284" s="69">
        <f t="shared" si="46"/>
        <v>362.16923930200397</v>
      </c>
      <c r="R284" s="73">
        <f>Annahmen!$B$9</f>
        <v>0.05</v>
      </c>
      <c r="S284" s="69">
        <f t="shared" si="47"/>
        <v>0.6260921054212979</v>
      </c>
      <c r="T284" s="69">
        <f t="shared" si="48"/>
        <v>0</v>
      </c>
      <c r="U284" s="74">
        <f>$O284+Annahmen!$B$10+(T284*Annahmen!$B$11)</f>
        <v>104.41</v>
      </c>
      <c r="V284" s="74">
        <f t="shared" si="41"/>
        <v>65.370276727037705</v>
      </c>
      <c r="W284" s="74">
        <f t="shared" si="49"/>
        <v>516.6073789462755</v>
      </c>
    </row>
    <row r="285" spans="1:23" x14ac:dyDescent="0.35">
      <c r="A285" s="70">
        <v>45941</v>
      </c>
      <c r="B285" s="71" t="str">
        <f t="shared" si="42"/>
        <v>Sa</v>
      </c>
      <c r="C285" s="69">
        <f t="shared" si="43"/>
        <v>10</v>
      </c>
      <c r="D285" s="69">
        <v>284</v>
      </c>
      <c r="E285" s="69" t="str">
        <f>IF(OR(COUNTIF(Feiertage_Hessen_2025!$C$4:$C$13,A285)&gt;0,WEEKDAY(A285,2)=7),"FT",IF(WEEKDAY(A285,2)=6,"SA","WT"))</f>
        <v>SA</v>
      </c>
      <c r="F285" s="69">
        <f>INDEX('BDEW-H25 Tagessummen'!$C$4:$C$39, MATCH(C285&amp;"_"&amp;E285, 'BDEW-H25 Tagessummen'!$D$4:$D$39, 0))</f>
        <v>2972.8519999999994</v>
      </c>
      <c r="G285" s="69">
        <f t="shared" si="40"/>
        <v>0.95425306828800038</v>
      </c>
      <c r="H285" s="69">
        <f>Tabelle1[[#This Row],[Profilwert (kWh)]]*Tabelle1[[#This Row],[Dynamisierungsfaktor]]</f>
        <v>2836.8531425661181</v>
      </c>
      <c r="I285" s="69">
        <f>Annahmen!$B$5*(H285/SUM($H$2:$H$366))</f>
        <v>14.190400903604772</v>
      </c>
      <c r="J285" s="69">
        <f>Annahmen!$B$6</f>
        <v>130</v>
      </c>
      <c r="K285" s="69">
        <f t="shared" si="44"/>
        <v>1844.7521174686203</v>
      </c>
      <c r="L285" s="69">
        <f>I285*Annahmen!$B$7</f>
        <v>9.9332806325233403</v>
      </c>
      <c r="M285" s="69">
        <f>I285*(1-Annahmen!$B$7)</f>
        <v>4.2571202710814324</v>
      </c>
      <c r="N285" s="69">
        <f>Annahmen!$B$8</f>
        <v>78</v>
      </c>
      <c r="O285" s="72">
        <f>INDEX(Quelle_SMARD_Preise_2025!$C$11:$C$375, MATCH($A285,Quelle_SMARD_Preise_2025!$A$11:$A$375, 0))</f>
        <v>90.69</v>
      </c>
      <c r="P285" s="69">
        <f t="shared" si="45"/>
        <v>774.79588933682055</v>
      </c>
      <c r="Q285" s="69">
        <f t="shared" si="46"/>
        <v>386.07823738437509</v>
      </c>
      <c r="R285" s="73">
        <f>Annahmen!$B$9</f>
        <v>0.05</v>
      </c>
      <c r="S285" s="69">
        <f t="shared" si="47"/>
        <v>0.70952004518023859</v>
      </c>
      <c r="T285" s="69">
        <f t="shared" si="48"/>
        <v>0</v>
      </c>
      <c r="U285" s="74">
        <f>$O285+Annahmen!$B$10+(T285*Annahmen!$B$11)</f>
        <v>98.69</v>
      </c>
      <c r="V285" s="74">
        <f t="shared" si="41"/>
        <v>70.02253325883774</v>
      </c>
      <c r="W285" s="74">
        <f t="shared" si="49"/>
        <v>613.85545748858704</v>
      </c>
    </row>
    <row r="286" spans="1:23" x14ac:dyDescent="0.35">
      <c r="A286" s="70">
        <v>45942</v>
      </c>
      <c r="B286" s="71" t="str">
        <f t="shared" si="42"/>
        <v>So</v>
      </c>
      <c r="C286" s="69">
        <f t="shared" si="43"/>
        <v>10</v>
      </c>
      <c r="D286" s="69">
        <v>285</v>
      </c>
      <c r="E286" s="69" t="str">
        <f>IF(OR(COUNTIF(Feiertage_Hessen_2025!$C$4:$C$13,A286)&gt;0,WEEKDAY(A286,2)=7),"FT",IF(WEEKDAY(A286,2)=6,"SA","WT"))</f>
        <v>FT</v>
      </c>
      <c r="F286" s="69">
        <f>INDEX('BDEW-H25 Tagessummen'!$C$4:$C$39, MATCH(C286&amp;"_"&amp;E286, 'BDEW-H25 Tagessummen'!$D$4:$D$39, 0))</f>
        <v>3127.2450000000008</v>
      </c>
      <c r="G286" s="69">
        <f t="shared" si="40"/>
        <v>0.95800475500000037</v>
      </c>
      <c r="H286" s="69">
        <f>Tabelle1[[#This Row],[Profilwert (kWh)]]*Tabelle1[[#This Row],[Dynamisierungsfaktor]]</f>
        <v>2995.9155800499771</v>
      </c>
      <c r="I286" s="69">
        <f>Annahmen!$B$5*(H286/SUM($H$2:$H$366))</f>
        <v>14.986057091347639</v>
      </c>
      <c r="J286" s="69">
        <f>Annahmen!$B$6</f>
        <v>130</v>
      </c>
      <c r="K286" s="69">
        <f t="shared" si="44"/>
        <v>1948.1874218751932</v>
      </c>
      <c r="L286" s="69">
        <f>I286*Annahmen!$B$7</f>
        <v>10.490239963943347</v>
      </c>
      <c r="M286" s="69">
        <f>I286*(1-Annahmen!$B$7)</f>
        <v>4.4958171274042922</v>
      </c>
      <c r="N286" s="69">
        <f>Annahmen!$B$8</f>
        <v>78</v>
      </c>
      <c r="O286" s="72">
        <f>INDEX(Quelle_SMARD_Preise_2025!$C$11:$C$375, MATCH($A286,Quelle_SMARD_Preise_2025!$A$11:$A$375, 0))</f>
        <v>89.19</v>
      </c>
      <c r="P286" s="69">
        <f t="shared" si="45"/>
        <v>818.23871718758107</v>
      </c>
      <c r="Q286" s="69">
        <f t="shared" si="46"/>
        <v>400.9819295931888</v>
      </c>
      <c r="R286" s="73">
        <f>Annahmen!$B$9</f>
        <v>0.05</v>
      </c>
      <c r="S286" s="69">
        <f t="shared" si="47"/>
        <v>0.74930285456738199</v>
      </c>
      <c r="T286" s="69">
        <f t="shared" si="48"/>
        <v>0</v>
      </c>
      <c r="U286" s="74">
        <f>$O286+Annahmen!$B$10+(T286*Annahmen!$B$11)</f>
        <v>97.19</v>
      </c>
      <c r="V286" s="74">
        <f t="shared" si="41"/>
        <v>72.824744435403858</v>
      </c>
      <c r="W286" s="74">
        <f t="shared" si="49"/>
        <v>656.14203065901927</v>
      </c>
    </row>
    <row r="287" spans="1:23" x14ac:dyDescent="0.35">
      <c r="A287" s="70">
        <v>45943</v>
      </c>
      <c r="B287" s="71" t="str">
        <f t="shared" si="42"/>
        <v>Mo</v>
      </c>
      <c r="C287" s="69">
        <f t="shared" si="43"/>
        <v>10</v>
      </c>
      <c r="D287" s="69">
        <v>286</v>
      </c>
      <c r="E287" s="69" t="str">
        <f>IF(OR(COUNTIF(Feiertage_Hessen_2025!$C$4:$C$13,A287)&gt;0,WEEKDAY(A287,2)=7),"FT",IF(WEEKDAY(A287,2)=6,"SA","WT"))</f>
        <v>WT</v>
      </c>
      <c r="F287" s="69">
        <f>INDEX('BDEW-H25 Tagessummen'!$C$4:$C$39, MATCH(C287&amp;"_"&amp;E287, 'BDEW-H25 Tagessummen'!$D$4:$D$39, 0))</f>
        <v>2633.5770000000007</v>
      </c>
      <c r="G287" s="69">
        <f t="shared" si="40"/>
        <v>0.96178115852800061</v>
      </c>
      <c r="H287" s="69">
        <f>Tabelle1[[#This Row],[Profilwert (kWh)]]*Tabelle1[[#This Row],[Dynamisierungsfaktor]]</f>
        <v>2532.9247381326968</v>
      </c>
      <c r="I287" s="69">
        <f>Annahmen!$B$5*(H287/SUM($H$2:$H$366))</f>
        <v>12.670101583139452</v>
      </c>
      <c r="J287" s="69">
        <f>Annahmen!$B$6</f>
        <v>130</v>
      </c>
      <c r="K287" s="69">
        <f t="shared" si="44"/>
        <v>1647.1132058081287</v>
      </c>
      <c r="L287" s="69">
        <f>I287*Annahmen!$B$7</f>
        <v>8.8690711081976161</v>
      </c>
      <c r="M287" s="69">
        <f>I287*(1-Annahmen!$B$7)</f>
        <v>3.801030474941836</v>
      </c>
      <c r="N287" s="69">
        <f>Annahmen!$B$8</f>
        <v>78</v>
      </c>
      <c r="O287" s="72">
        <f>INDEX(Quelle_SMARD_Preise_2025!$C$11:$C$375, MATCH($A287,Quelle_SMARD_Preise_2025!$A$11:$A$375, 0))</f>
        <v>139.05000000000001</v>
      </c>
      <c r="P287" s="69">
        <f t="shared" si="45"/>
        <v>691.78754643941409</v>
      </c>
      <c r="Q287" s="69">
        <f t="shared" si="46"/>
        <v>528.53328754066229</v>
      </c>
      <c r="R287" s="73">
        <f>Annahmen!$B$9</f>
        <v>0.05</v>
      </c>
      <c r="S287" s="69">
        <f t="shared" si="47"/>
        <v>0.63350507915697263</v>
      </c>
      <c r="T287" s="69">
        <f t="shared" si="48"/>
        <v>0</v>
      </c>
      <c r="U287" s="74">
        <f>$O287+Annahmen!$B$10+(T287*Annahmen!$B$11)</f>
        <v>147.05000000000001</v>
      </c>
      <c r="V287" s="74">
        <f t="shared" si="41"/>
        <v>93.156921890032834</v>
      </c>
      <c r="W287" s="74">
        <f t="shared" si="49"/>
        <v>333.63544993801946</v>
      </c>
    </row>
    <row r="288" spans="1:23" x14ac:dyDescent="0.35">
      <c r="A288" s="70">
        <v>45944</v>
      </c>
      <c r="B288" s="71" t="str">
        <f t="shared" si="42"/>
        <v>Di</v>
      </c>
      <c r="C288" s="69">
        <f t="shared" si="43"/>
        <v>10</v>
      </c>
      <c r="D288" s="69">
        <v>287</v>
      </c>
      <c r="E288" s="69" t="str">
        <f>IF(OR(COUNTIF(Feiertage_Hessen_2025!$C$4:$C$13,A288)&gt;0,WEEKDAY(A288,2)=7),"FT",IF(WEEKDAY(A288,2)=6,"SA","WT"))</f>
        <v>WT</v>
      </c>
      <c r="F288" s="69">
        <f>INDEX('BDEW-H25 Tagessummen'!$C$4:$C$39, MATCH(C288&amp;"_"&amp;E288, 'BDEW-H25 Tagessummen'!$D$4:$D$39, 0))</f>
        <v>2633.5770000000007</v>
      </c>
      <c r="G288" s="69">
        <f t="shared" si="40"/>
        <v>0.9655815128880002</v>
      </c>
      <c r="H288" s="69">
        <f>Tabelle1[[#This Row],[Profilwert (kWh)]]*Tabelle1[[#This Row],[Dynamisierungsfaktor]]</f>
        <v>2542.9332639670415</v>
      </c>
      <c r="I288" s="69">
        <f>Annahmen!$B$5*(H288/SUM($H$2:$H$366))</f>
        <v>12.720165857497683</v>
      </c>
      <c r="J288" s="69">
        <f>Annahmen!$B$6</f>
        <v>130</v>
      </c>
      <c r="K288" s="69">
        <f t="shared" si="44"/>
        <v>1653.6215614746989</v>
      </c>
      <c r="L288" s="69">
        <f>I288*Annahmen!$B$7</f>
        <v>8.9041161002483769</v>
      </c>
      <c r="M288" s="69">
        <f>I288*(1-Annahmen!$B$7)</f>
        <v>3.8160497572493055</v>
      </c>
      <c r="N288" s="69">
        <f>Annahmen!$B$8</f>
        <v>78</v>
      </c>
      <c r="O288" s="72">
        <f>INDEX(Quelle_SMARD_Preise_2025!$C$11:$C$375, MATCH($A288,Quelle_SMARD_Preise_2025!$A$11:$A$375, 0))</f>
        <v>156.13999999999999</v>
      </c>
      <c r="P288" s="69">
        <f t="shared" si="45"/>
        <v>694.52105581937337</v>
      </c>
      <c r="Q288" s="69">
        <f t="shared" si="46"/>
        <v>595.83800909690649</v>
      </c>
      <c r="R288" s="73">
        <f>Annahmen!$B$9</f>
        <v>0.05</v>
      </c>
      <c r="S288" s="69">
        <f t="shared" si="47"/>
        <v>0.63600829287488425</v>
      </c>
      <c r="T288" s="69">
        <f t="shared" si="48"/>
        <v>0</v>
      </c>
      <c r="U288" s="74">
        <f>$O288+Annahmen!$B$10+(T288*Annahmen!$B$11)</f>
        <v>164.14</v>
      </c>
      <c r="V288" s="74">
        <f t="shared" si="41"/>
        <v>104.39440119248349</v>
      </c>
      <c r="W288" s="74">
        <f t="shared" si="49"/>
        <v>258.86809536593552</v>
      </c>
    </row>
    <row r="289" spans="1:23" x14ac:dyDescent="0.35">
      <c r="A289" s="70">
        <v>45945</v>
      </c>
      <c r="B289" s="71" t="str">
        <f t="shared" si="42"/>
        <v>Mi</v>
      </c>
      <c r="C289" s="69">
        <f t="shared" si="43"/>
        <v>10</v>
      </c>
      <c r="D289" s="69">
        <v>288</v>
      </c>
      <c r="E289" s="69" t="str">
        <f>IF(OR(COUNTIF(Feiertage_Hessen_2025!$C$4:$C$13,A289)&gt;0,WEEKDAY(A289,2)=7),"FT",IF(WEEKDAY(A289,2)=6,"SA","WT"))</f>
        <v>WT</v>
      </c>
      <c r="F289" s="69">
        <f>INDEX('BDEW-H25 Tagessummen'!$C$4:$C$39, MATCH(C289&amp;"_"&amp;E289, 'BDEW-H25 Tagessummen'!$D$4:$D$39, 0))</f>
        <v>2633.5770000000007</v>
      </c>
      <c r="G289" s="69">
        <f t="shared" si="40"/>
        <v>0.96940504268800065</v>
      </c>
      <c r="H289" s="69">
        <f>Tabelle1[[#This Row],[Profilwert (kWh)]]*Tabelle1[[#This Row],[Dynamisierungsfaktor]]</f>
        <v>2553.0028241071373</v>
      </c>
      <c r="I289" s="69">
        <f>Annahmen!$B$5*(H289/SUM($H$2:$H$366))</f>
        <v>12.770535435382021</v>
      </c>
      <c r="J289" s="69">
        <f>Annahmen!$B$6</f>
        <v>130</v>
      </c>
      <c r="K289" s="69">
        <f t="shared" si="44"/>
        <v>1660.1696065996628</v>
      </c>
      <c r="L289" s="69">
        <f>I289*Annahmen!$B$7</f>
        <v>8.9393748047674144</v>
      </c>
      <c r="M289" s="69">
        <f>I289*(1-Annahmen!$B$7)</f>
        <v>3.8311606306146069</v>
      </c>
      <c r="N289" s="69">
        <f>Annahmen!$B$8</f>
        <v>78</v>
      </c>
      <c r="O289" s="72">
        <f>INDEX(Quelle_SMARD_Preise_2025!$C$11:$C$375, MATCH($A289,Quelle_SMARD_Preise_2025!$A$11:$A$375, 0))</f>
        <v>145.72</v>
      </c>
      <c r="P289" s="69">
        <f t="shared" si="45"/>
        <v>697.2712347718583</v>
      </c>
      <c r="Q289" s="69">
        <f t="shared" si="46"/>
        <v>558.2767270931605</v>
      </c>
      <c r="R289" s="73">
        <f>Annahmen!$B$9</f>
        <v>0.05</v>
      </c>
      <c r="S289" s="69">
        <f t="shared" si="47"/>
        <v>0.63852677176910111</v>
      </c>
      <c r="T289" s="69">
        <f t="shared" si="48"/>
        <v>0</v>
      </c>
      <c r="U289" s="74">
        <f>$O289+Annahmen!$B$10+(T289*Annahmen!$B$11)</f>
        <v>153.72</v>
      </c>
      <c r="V289" s="74">
        <f t="shared" si="41"/>
        <v>98.154335356346223</v>
      </c>
      <c r="W289" s="74">
        <f t="shared" si="49"/>
        <v>306.46730937829773</v>
      </c>
    </row>
    <row r="290" spans="1:23" x14ac:dyDescent="0.35">
      <c r="A290" s="70">
        <v>45946</v>
      </c>
      <c r="B290" s="71" t="str">
        <f t="shared" si="42"/>
        <v>Do</v>
      </c>
      <c r="C290" s="69">
        <f t="shared" si="43"/>
        <v>10</v>
      </c>
      <c r="D290" s="69">
        <v>289</v>
      </c>
      <c r="E290" s="69" t="str">
        <f>IF(OR(COUNTIF(Feiertage_Hessen_2025!$C$4:$C$13,A290)&gt;0,WEEKDAY(A290,2)=7),"FT",IF(WEEKDAY(A290,2)=6,"SA","WT"))</f>
        <v>WT</v>
      </c>
      <c r="F290" s="69">
        <f>INDEX('BDEW-H25 Tagessummen'!$C$4:$C$39, MATCH(C290&amp;"_"&amp;E290, 'BDEW-H25 Tagessummen'!$D$4:$D$39, 0))</f>
        <v>2633.5770000000007</v>
      </c>
      <c r="G290" s="69">
        <f t="shared" si="40"/>
        <v>0.97325096312800097</v>
      </c>
      <c r="H290" s="69">
        <f>Tabelle1[[#This Row],[Profilwert (kWh)]]*Tabelle1[[#This Row],[Dynamisierungsfaktor]]</f>
        <v>2563.1313517217523</v>
      </c>
      <c r="I290" s="69">
        <f>Annahmen!$B$5*(H290/SUM($H$2:$H$366))</f>
        <v>12.821199978166428</v>
      </c>
      <c r="J290" s="69">
        <f>Annahmen!$B$6</f>
        <v>130</v>
      </c>
      <c r="K290" s="69">
        <f t="shared" si="44"/>
        <v>1666.7559971616356</v>
      </c>
      <c r="L290" s="69">
        <f>I290*Annahmen!$B$7</f>
        <v>8.9748399847164997</v>
      </c>
      <c r="M290" s="69">
        <f>I290*(1-Annahmen!$B$7)</f>
        <v>3.8463599934499291</v>
      </c>
      <c r="N290" s="69">
        <f>Annahmen!$B$8</f>
        <v>78</v>
      </c>
      <c r="O290" s="72">
        <f>INDEX(Quelle_SMARD_Preise_2025!$C$11:$C$375, MATCH($A290,Quelle_SMARD_Preise_2025!$A$11:$A$375, 0))</f>
        <v>100</v>
      </c>
      <c r="P290" s="69">
        <f t="shared" si="45"/>
        <v>700.03751880788695</v>
      </c>
      <c r="Q290" s="69">
        <f t="shared" si="46"/>
        <v>384.63599934499291</v>
      </c>
      <c r="R290" s="73">
        <f>Annahmen!$B$9</f>
        <v>0.05</v>
      </c>
      <c r="S290" s="69">
        <f t="shared" si="47"/>
        <v>0.64105999890832144</v>
      </c>
      <c r="T290" s="69">
        <f t="shared" si="48"/>
        <v>0</v>
      </c>
      <c r="U290" s="74">
        <f>$O290+Annahmen!$B$10+(T290*Annahmen!$B$11)</f>
        <v>108</v>
      </c>
      <c r="V290" s="74">
        <f t="shared" si="41"/>
        <v>69.234479882098711</v>
      </c>
      <c r="W290" s="74">
        <f t="shared" si="49"/>
        <v>512.84799912665699</v>
      </c>
    </row>
    <row r="291" spans="1:23" x14ac:dyDescent="0.35">
      <c r="A291" s="70">
        <v>45947</v>
      </c>
      <c r="B291" s="71" t="str">
        <f t="shared" si="42"/>
        <v>Fr</v>
      </c>
      <c r="C291" s="69">
        <f t="shared" si="43"/>
        <v>10</v>
      </c>
      <c r="D291" s="69">
        <v>290</v>
      </c>
      <c r="E291" s="69" t="str">
        <f>IF(OR(COUNTIF(Feiertage_Hessen_2025!$C$4:$C$13,A291)&gt;0,WEEKDAY(A291,2)=7),"FT",IF(WEEKDAY(A291,2)=6,"SA","WT"))</f>
        <v>WT</v>
      </c>
      <c r="F291" s="69">
        <f>INDEX('BDEW-H25 Tagessummen'!$C$4:$C$39, MATCH(C291&amp;"_"&amp;E291, 'BDEW-H25 Tagessummen'!$D$4:$D$39, 0))</f>
        <v>2633.5770000000007</v>
      </c>
      <c r="G291" s="69">
        <f t="shared" si="40"/>
        <v>0.97711848000000046</v>
      </c>
      <c r="H291" s="69">
        <f>Tabelle1[[#This Row],[Profilwert (kWh)]]*Tabelle1[[#This Row],[Dynamisierungsfaktor]]</f>
        <v>2573.3167552029618</v>
      </c>
      <c r="I291" s="69">
        <f>Annahmen!$B$5*(H291/SUM($H$2:$H$366))</f>
        <v>12.872149023287809</v>
      </c>
      <c r="J291" s="69">
        <f>Annahmen!$B$6</f>
        <v>130</v>
      </c>
      <c r="K291" s="69">
        <f t="shared" si="44"/>
        <v>1673.3793730274151</v>
      </c>
      <c r="L291" s="69">
        <f>I291*Annahmen!$B$7</f>
        <v>9.010504316301466</v>
      </c>
      <c r="M291" s="69">
        <f>I291*(1-Annahmen!$B$7)</f>
        <v>3.8616447069863433</v>
      </c>
      <c r="N291" s="69">
        <f>Annahmen!$B$8</f>
        <v>78</v>
      </c>
      <c r="O291" s="72">
        <f>INDEX(Quelle_SMARD_Preise_2025!$C$11:$C$375, MATCH($A291,Quelle_SMARD_Preise_2025!$A$11:$A$375, 0))</f>
        <v>104.41</v>
      </c>
      <c r="P291" s="69">
        <f t="shared" si="45"/>
        <v>702.81933667151429</v>
      </c>
      <c r="Q291" s="69">
        <f t="shared" si="46"/>
        <v>403.1943238564441</v>
      </c>
      <c r="R291" s="73">
        <f>Annahmen!$B$9</f>
        <v>0.05</v>
      </c>
      <c r="S291" s="69">
        <f t="shared" si="47"/>
        <v>0.64360745116439055</v>
      </c>
      <c r="T291" s="69">
        <f t="shared" si="48"/>
        <v>0</v>
      </c>
      <c r="U291" s="74">
        <f>$O291+Annahmen!$B$10+(T291*Annahmen!$B$11)</f>
        <v>112.41</v>
      </c>
      <c r="V291" s="74">
        <f t="shared" si="41"/>
        <v>72.347913585389136</v>
      </c>
      <c r="W291" s="74">
        <f t="shared" si="49"/>
        <v>495.01779891406761</v>
      </c>
    </row>
    <row r="292" spans="1:23" x14ac:dyDescent="0.35">
      <c r="A292" s="70">
        <v>45948</v>
      </c>
      <c r="B292" s="71" t="str">
        <f t="shared" si="42"/>
        <v>Sa</v>
      </c>
      <c r="C292" s="69">
        <f t="shared" si="43"/>
        <v>10</v>
      </c>
      <c r="D292" s="69">
        <v>291</v>
      </c>
      <c r="E292" s="69" t="str">
        <f>IF(OR(COUNTIF(Feiertage_Hessen_2025!$C$4:$C$13,A292)&gt;0,WEEKDAY(A292,2)=7),"FT",IF(WEEKDAY(A292,2)=6,"SA","WT"))</f>
        <v>SA</v>
      </c>
      <c r="F292" s="69">
        <f>INDEX('BDEW-H25 Tagessummen'!$C$4:$C$39, MATCH(C292&amp;"_"&amp;E292, 'BDEW-H25 Tagessummen'!$D$4:$D$39, 0))</f>
        <v>2972.8519999999994</v>
      </c>
      <c r="G292" s="69">
        <f t="shared" si="40"/>
        <v>0.98100678968800137</v>
      </c>
      <c r="H292" s="69">
        <f>Tabelle1[[#This Row],[Profilwert (kWh)]]*Tabelle1[[#This Row],[Dynamisierungsfaktor]]</f>
        <v>2916.3879967375537</v>
      </c>
      <c r="I292" s="69">
        <f>Annahmen!$B$5*(H292/SUM($H$2:$H$366))</f>
        <v>14.588247182485988</v>
      </c>
      <c r="J292" s="69">
        <f>Annahmen!$B$6</f>
        <v>130</v>
      </c>
      <c r="K292" s="69">
        <f t="shared" si="44"/>
        <v>1896.4721337231786</v>
      </c>
      <c r="L292" s="69">
        <f>I292*Annahmen!$B$7</f>
        <v>10.211773027740191</v>
      </c>
      <c r="M292" s="69">
        <f>I292*(1-Annahmen!$B$7)</f>
        <v>4.3764741547457975</v>
      </c>
      <c r="N292" s="69">
        <f>Annahmen!$B$8</f>
        <v>78</v>
      </c>
      <c r="O292" s="72">
        <f>INDEX(Quelle_SMARD_Preise_2025!$C$11:$C$375, MATCH($A292,Quelle_SMARD_Preise_2025!$A$11:$A$375, 0))</f>
        <v>95.74</v>
      </c>
      <c r="P292" s="69">
        <f t="shared" si="45"/>
        <v>796.51829616373493</v>
      </c>
      <c r="Q292" s="69">
        <f t="shared" si="46"/>
        <v>419.00363557536264</v>
      </c>
      <c r="R292" s="73">
        <f>Annahmen!$B$9</f>
        <v>0.05</v>
      </c>
      <c r="S292" s="69">
        <f t="shared" si="47"/>
        <v>0.72941235912429947</v>
      </c>
      <c r="T292" s="69">
        <f t="shared" si="48"/>
        <v>0</v>
      </c>
      <c r="U292" s="74">
        <f>$O292+Annahmen!$B$10+(T292*Annahmen!$B$11)</f>
        <v>103.74</v>
      </c>
      <c r="V292" s="74">
        <f t="shared" si="41"/>
        <v>75.669238135554821</v>
      </c>
      <c r="W292" s="74">
        <f t="shared" si="49"/>
        <v>605.2809638485262</v>
      </c>
    </row>
    <row r="293" spans="1:23" x14ac:dyDescent="0.35">
      <c r="A293" s="70">
        <v>45949</v>
      </c>
      <c r="B293" s="71" t="str">
        <f t="shared" si="42"/>
        <v>So</v>
      </c>
      <c r="C293" s="69">
        <f t="shared" si="43"/>
        <v>10</v>
      </c>
      <c r="D293" s="69">
        <v>292</v>
      </c>
      <c r="E293" s="69" t="str">
        <f>IF(OR(COUNTIF(Feiertage_Hessen_2025!$C$4:$C$13,A293)&gt;0,WEEKDAY(A293,2)=7),"FT",IF(WEEKDAY(A293,2)=6,"SA","WT"))</f>
        <v>FT</v>
      </c>
      <c r="F293" s="69">
        <f>INDEX('BDEW-H25 Tagessummen'!$C$4:$C$39, MATCH(C293&amp;"_"&amp;E293, 'BDEW-H25 Tagessummen'!$D$4:$D$39, 0))</f>
        <v>3127.2450000000008</v>
      </c>
      <c r="G293" s="69">
        <f t="shared" si="40"/>
        <v>0.98491507916800003</v>
      </c>
      <c r="H293" s="69">
        <f>Tabelle1[[#This Row],[Profilwert (kWh)]]*Tabelle1[[#This Row],[Dynamisierungsfaktor]]</f>
        <v>3080.0707567527329</v>
      </c>
      <c r="I293" s="69">
        <f>Annahmen!$B$5*(H293/SUM($H$2:$H$366))</f>
        <v>15.407014975140516</v>
      </c>
      <c r="J293" s="69">
        <f>Annahmen!$B$6</f>
        <v>130</v>
      </c>
      <c r="K293" s="69">
        <f t="shared" si="44"/>
        <v>2002.9119467682672</v>
      </c>
      <c r="L293" s="69">
        <f>I293*Annahmen!$B$7</f>
        <v>10.784910482598361</v>
      </c>
      <c r="M293" s="69">
        <f>I293*(1-Annahmen!$B$7)</f>
        <v>4.6221044925421557</v>
      </c>
      <c r="N293" s="69">
        <f>Annahmen!$B$8</f>
        <v>78</v>
      </c>
      <c r="O293" s="72">
        <f>INDEX(Quelle_SMARD_Preise_2025!$C$11:$C$375, MATCH($A293,Quelle_SMARD_Preise_2025!$A$11:$A$375, 0))</f>
        <v>75.349999999999994</v>
      </c>
      <c r="P293" s="69">
        <f t="shared" si="45"/>
        <v>841.22301764267218</v>
      </c>
      <c r="Q293" s="69">
        <f t="shared" si="46"/>
        <v>348.27557351305143</v>
      </c>
      <c r="R293" s="73">
        <f>Annahmen!$B$9</f>
        <v>0.05</v>
      </c>
      <c r="S293" s="69">
        <f t="shared" si="47"/>
        <v>0.7703507487570258</v>
      </c>
      <c r="T293" s="69">
        <f t="shared" si="48"/>
        <v>0</v>
      </c>
      <c r="U293" s="74">
        <f>$O293+Annahmen!$B$10+(T293*Annahmen!$B$11)</f>
        <v>83.35</v>
      </c>
      <c r="V293" s="74">
        <f t="shared" si="41"/>
        <v>64.208734908898094</v>
      </c>
      <c r="W293" s="74">
        <f t="shared" si="49"/>
        <v>749.20462070364545</v>
      </c>
    </row>
    <row r="294" spans="1:23" x14ac:dyDescent="0.35">
      <c r="A294" s="70">
        <v>45950</v>
      </c>
      <c r="B294" s="71" t="str">
        <f t="shared" si="42"/>
        <v>Mo</v>
      </c>
      <c r="C294" s="69">
        <f t="shared" si="43"/>
        <v>10</v>
      </c>
      <c r="D294" s="69">
        <v>293</v>
      </c>
      <c r="E294" s="69" t="str">
        <f>IF(OR(COUNTIF(Feiertage_Hessen_2025!$C$4:$C$13,A294)&gt;0,WEEKDAY(A294,2)=7),"FT",IF(WEEKDAY(A294,2)=6,"SA","WT"))</f>
        <v>WT</v>
      </c>
      <c r="F294" s="69">
        <f>INDEX('BDEW-H25 Tagessummen'!$C$4:$C$39, MATCH(C294&amp;"_"&amp;E294, 'BDEW-H25 Tagessummen'!$D$4:$D$39, 0))</f>
        <v>2633.5770000000007</v>
      </c>
      <c r="G294" s="69">
        <f t="shared" si="40"/>
        <v>0.98884252600800016</v>
      </c>
      <c r="H294" s="69">
        <f>Tabelle1[[#This Row],[Profilwert (kWh)]]*Tabelle1[[#This Row],[Dynamisierungsfaktor]]</f>
        <v>2604.1929331165716</v>
      </c>
      <c r="I294" s="69">
        <f>Annahmen!$B$5*(H294/SUM($H$2:$H$366))</f>
        <v>13.026596687987441</v>
      </c>
      <c r="J294" s="69">
        <f>Annahmen!$B$6</f>
        <v>130</v>
      </c>
      <c r="K294" s="69">
        <f t="shared" si="44"/>
        <v>1693.4575694383673</v>
      </c>
      <c r="L294" s="69">
        <f>I294*Annahmen!$B$7</f>
        <v>9.1186176815912088</v>
      </c>
      <c r="M294" s="69">
        <f>I294*(1-Annahmen!$B$7)</f>
        <v>3.907979006396233</v>
      </c>
      <c r="N294" s="69">
        <f>Annahmen!$B$8</f>
        <v>78</v>
      </c>
      <c r="O294" s="72">
        <f>INDEX(Quelle_SMARD_Preise_2025!$C$11:$C$375, MATCH($A294,Quelle_SMARD_Preise_2025!$A$11:$A$375, 0))</f>
        <v>82.26</v>
      </c>
      <c r="P294" s="69">
        <f t="shared" si="45"/>
        <v>711.2521791641143</v>
      </c>
      <c r="Q294" s="69">
        <f t="shared" si="46"/>
        <v>321.47035306615413</v>
      </c>
      <c r="R294" s="73">
        <f>Annahmen!$B$9</f>
        <v>0.05</v>
      </c>
      <c r="S294" s="69">
        <f t="shared" si="47"/>
        <v>0.65132983439937209</v>
      </c>
      <c r="T294" s="69">
        <f t="shared" si="48"/>
        <v>0</v>
      </c>
      <c r="U294" s="74">
        <f>$O294+Annahmen!$B$10+(T294*Annahmen!$B$11)</f>
        <v>90.26</v>
      </c>
      <c r="V294" s="74">
        <f t="shared" si="41"/>
        <v>58.789030852887329</v>
      </c>
      <c r="W294" s="74">
        <f t="shared" si="49"/>
        <v>601.94600635521158</v>
      </c>
    </row>
    <row r="295" spans="1:23" x14ac:dyDescent="0.35">
      <c r="A295" s="70">
        <v>45951</v>
      </c>
      <c r="B295" s="71" t="str">
        <f t="shared" si="42"/>
        <v>Di</v>
      </c>
      <c r="C295" s="69">
        <f t="shared" si="43"/>
        <v>10</v>
      </c>
      <c r="D295" s="69">
        <v>294</v>
      </c>
      <c r="E295" s="69" t="str">
        <f>IF(OR(COUNTIF(Feiertage_Hessen_2025!$C$4:$C$13,A295)&gt;0,WEEKDAY(A295,2)=7),"FT",IF(WEEKDAY(A295,2)=6,"SA","WT"))</f>
        <v>WT</v>
      </c>
      <c r="F295" s="69">
        <f>INDEX('BDEW-H25 Tagessummen'!$C$4:$C$39, MATCH(C295&amp;"_"&amp;E295, 'BDEW-H25 Tagessummen'!$D$4:$D$39, 0))</f>
        <v>2633.5770000000007</v>
      </c>
      <c r="G295" s="69">
        <f t="shared" si="40"/>
        <v>0.99278829836800042</v>
      </c>
      <c r="H295" s="69">
        <f>Tabelle1[[#This Row],[Profilwert (kWh)]]*Tabelle1[[#This Row],[Dynamisierungsfaktor]]</f>
        <v>2614.584428451104</v>
      </c>
      <c r="I295" s="69">
        <f>Annahmen!$B$5*(H295/SUM($H$2:$H$366))</f>
        <v>13.078576638085094</v>
      </c>
      <c r="J295" s="69">
        <f>Annahmen!$B$6</f>
        <v>130</v>
      </c>
      <c r="K295" s="69">
        <f t="shared" si="44"/>
        <v>1700.2149629510623</v>
      </c>
      <c r="L295" s="69">
        <f>I295*Annahmen!$B$7</f>
        <v>9.1550036466595657</v>
      </c>
      <c r="M295" s="69">
        <f>I295*(1-Annahmen!$B$7)</f>
        <v>3.9235729914255288</v>
      </c>
      <c r="N295" s="69">
        <f>Annahmen!$B$8</f>
        <v>78</v>
      </c>
      <c r="O295" s="72">
        <f>INDEX(Quelle_SMARD_Preise_2025!$C$11:$C$375, MATCH($A295,Quelle_SMARD_Preise_2025!$A$11:$A$375, 0))</f>
        <v>67.81</v>
      </c>
      <c r="P295" s="69">
        <f t="shared" si="45"/>
        <v>714.09028443944612</v>
      </c>
      <c r="Q295" s="69">
        <f t="shared" si="46"/>
        <v>266.05748454856513</v>
      </c>
      <c r="R295" s="73">
        <f>Annahmen!$B$9</f>
        <v>0.05</v>
      </c>
      <c r="S295" s="69">
        <f t="shared" si="47"/>
        <v>0.65392883190425477</v>
      </c>
      <c r="T295" s="69">
        <f t="shared" si="48"/>
        <v>0</v>
      </c>
      <c r="U295" s="74">
        <f>$O295+Annahmen!$B$10+(T295*Annahmen!$B$11)</f>
        <v>75.81</v>
      </c>
      <c r="V295" s="74">
        <f t="shared" si="41"/>
        <v>49.574344746661552</v>
      </c>
      <c r="W295" s="74">
        <f t="shared" si="49"/>
        <v>670.49284921638946</v>
      </c>
    </row>
    <row r="296" spans="1:23" x14ac:dyDescent="0.35">
      <c r="A296" s="70">
        <v>45952</v>
      </c>
      <c r="B296" s="71" t="str">
        <f t="shared" si="42"/>
        <v>Mi</v>
      </c>
      <c r="C296" s="69">
        <f t="shared" si="43"/>
        <v>10</v>
      </c>
      <c r="D296" s="69">
        <v>295</v>
      </c>
      <c r="E296" s="69" t="str">
        <f>IF(OR(COUNTIF(Feiertage_Hessen_2025!$C$4:$C$13,A296)&gt;0,WEEKDAY(A296,2)=7),"FT",IF(WEEKDAY(A296,2)=6,"SA","WT"))</f>
        <v>WT</v>
      </c>
      <c r="F296" s="69">
        <f>INDEX('BDEW-H25 Tagessummen'!$C$4:$C$39, MATCH(C296&amp;"_"&amp;E296, 'BDEW-H25 Tagessummen'!$D$4:$D$39, 0))</f>
        <v>2633.5770000000007</v>
      </c>
      <c r="G296" s="69">
        <f t="shared" si="40"/>
        <v>0.99675155500000157</v>
      </c>
      <c r="H296" s="69">
        <f>Tabelle1[[#This Row],[Profilwert (kWh)]]*Tabelle1[[#This Row],[Dynamisierungsfaktor]]</f>
        <v>2625.0219699622398</v>
      </c>
      <c r="I296" s="69">
        <f>Annahmen!$B$5*(H296/SUM($H$2:$H$366))</f>
        <v>13.130786918648669</v>
      </c>
      <c r="J296" s="69">
        <f>Annahmen!$B$6</f>
        <v>130</v>
      </c>
      <c r="K296" s="69">
        <f t="shared" si="44"/>
        <v>1707.002299424327</v>
      </c>
      <c r="L296" s="69">
        <f>I296*Annahmen!$B$7</f>
        <v>9.1915508430540669</v>
      </c>
      <c r="M296" s="69">
        <f>I296*(1-Annahmen!$B$7)</f>
        <v>3.9392360755946014</v>
      </c>
      <c r="N296" s="69">
        <f>Annahmen!$B$8</f>
        <v>78</v>
      </c>
      <c r="O296" s="72">
        <f>INDEX(Quelle_SMARD_Preise_2025!$C$11:$C$375, MATCH($A296,Quelle_SMARD_Preise_2025!$A$11:$A$375, 0))</f>
        <v>125.07</v>
      </c>
      <c r="P296" s="69">
        <f t="shared" si="45"/>
        <v>716.9409657582172</v>
      </c>
      <c r="Q296" s="69">
        <f t="shared" si="46"/>
        <v>492.68025597461678</v>
      </c>
      <c r="R296" s="73">
        <f>Annahmen!$B$9</f>
        <v>0.05</v>
      </c>
      <c r="S296" s="69">
        <f t="shared" si="47"/>
        <v>0.65653934593243346</v>
      </c>
      <c r="T296" s="69">
        <f t="shared" si="48"/>
        <v>0</v>
      </c>
      <c r="U296" s="74">
        <f>$O296+Annahmen!$B$10+(T296*Annahmen!$B$11)</f>
        <v>133.07</v>
      </c>
      <c r="V296" s="74">
        <f t="shared" si="41"/>
        <v>87.365690763228912</v>
      </c>
      <c r="W296" s="74">
        <f t="shared" si="49"/>
        <v>410.01538692826409</v>
      </c>
    </row>
    <row r="297" spans="1:23" x14ac:dyDescent="0.35">
      <c r="A297" s="70">
        <v>45953</v>
      </c>
      <c r="B297" s="71" t="str">
        <f t="shared" si="42"/>
        <v>Do</v>
      </c>
      <c r="C297" s="69">
        <f t="shared" si="43"/>
        <v>10</v>
      </c>
      <c r="D297" s="69">
        <v>296</v>
      </c>
      <c r="E297" s="69" t="str">
        <f>IF(OR(COUNTIF(Feiertage_Hessen_2025!$C$4:$C$13,A297)&gt;0,WEEKDAY(A297,2)=7),"FT",IF(WEEKDAY(A297,2)=6,"SA","WT"))</f>
        <v>WT</v>
      </c>
      <c r="F297" s="69">
        <f>INDEX('BDEW-H25 Tagessummen'!$C$4:$C$39, MATCH(C297&amp;"_"&amp;E297, 'BDEW-H25 Tagessummen'!$D$4:$D$39, 0))</f>
        <v>2633.5770000000007</v>
      </c>
      <c r="G297" s="69">
        <f t="shared" si="40"/>
        <v>1.0007314452480003</v>
      </c>
      <c r="H297" s="69">
        <f>Tabelle1[[#This Row],[Profilwert (kWh)]]*Tabelle1[[#This Row],[Dynamisierungsfaktor]]</f>
        <v>2635.5033173818933</v>
      </c>
      <c r="I297" s="69">
        <f>Annahmen!$B$5*(H297/SUM($H$2:$H$366))</f>
        <v>13.183216323492763</v>
      </c>
      <c r="J297" s="69">
        <f>Annahmen!$B$6</f>
        <v>130</v>
      </c>
      <c r="K297" s="69">
        <f t="shared" si="44"/>
        <v>1713.8181220540591</v>
      </c>
      <c r="L297" s="69">
        <f>I297*Annahmen!$B$7</f>
        <v>9.2282514264449329</v>
      </c>
      <c r="M297" s="69">
        <f>I297*(1-Annahmen!$B$7)</f>
        <v>3.9549648970478297</v>
      </c>
      <c r="N297" s="69">
        <f>Annahmen!$B$8</f>
        <v>78</v>
      </c>
      <c r="O297" s="72">
        <f>INDEX(Quelle_SMARD_Preise_2025!$C$11:$C$375, MATCH($A297,Quelle_SMARD_Preise_2025!$A$11:$A$375, 0))</f>
        <v>82.27</v>
      </c>
      <c r="P297" s="69">
        <f t="shared" si="45"/>
        <v>719.80361126270475</v>
      </c>
      <c r="Q297" s="69">
        <f t="shared" si="46"/>
        <v>325.37496208012493</v>
      </c>
      <c r="R297" s="73">
        <f>Annahmen!$B$9</f>
        <v>0.05</v>
      </c>
      <c r="S297" s="69">
        <f t="shared" si="47"/>
        <v>0.65916081617463818</v>
      </c>
      <c r="T297" s="69">
        <f t="shared" si="48"/>
        <v>0</v>
      </c>
      <c r="U297" s="74">
        <f>$O297+Annahmen!$B$10+(T297*Annahmen!$B$11)</f>
        <v>90.27</v>
      </c>
      <c r="V297" s="74">
        <f t="shared" si="41"/>
        <v>59.502446876084583</v>
      </c>
      <c r="W297" s="74">
        <f t="shared" si="49"/>
        <v>609.1371018351449</v>
      </c>
    </row>
    <row r="298" spans="1:23" x14ac:dyDescent="0.35">
      <c r="A298" s="70">
        <v>45954</v>
      </c>
      <c r="B298" s="71" t="str">
        <f t="shared" si="42"/>
        <v>Fr</v>
      </c>
      <c r="C298" s="69">
        <f t="shared" si="43"/>
        <v>10</v>
      </c>
      <c r="D298" s="69">
        <v>297</v>
      </c>
      <c r="E298" s="69" t="str">
        <f>IF(OR(COUNTIF(Feiertage_Hessen_2025!$C$4:$C$13,A298)&gt;0,WEEKDAY(A298,2)=7),"FT",IF(WEEKDAY(A298,2)=6,"SA","WT"))</f>
        <v>WT</v>
      </c>
      <c r="F298" s="69">
        <f>INDEX('BDEW-H25 Tagessummen'!$C$4:$C$39, MATCH(C298&amp;"_"&amp;E298, 'BDEW-H25 Tagessummen'!$D$4:$D$39, 0))</f>
        <v>2633.5770000000007</v>
      </c>
      <c r="G298" s="69">
        <f t="shared" si="40"/>
        <v>1.0047271090480003</v>
      </c>
      <c r="H298" s="69">
        <f>Tabelle1[[#This Row],[Profilwert (kWh)]]*Tabelle1[[#This Row],[Dynamisierungsfaktor]]</f>
        <v>2646.0262056653064</v>
      </c>
      <c r="I298" s="69">
        <f>Annahmen!$B$5*(H298/SUM($H$2:$H$366))</f>
        <v>13.235853522495038</v>
      </c>
      <c r="J298" s="69">
        <f>Annahmen!$B$6</f>
        <v>130</v>
      </c>
      <c r="K298" s="69">
        <f t="shared" si="44"/>
        <v>1720.660957924355</v>
      </c>
      <c r="L298" s="69">
        <f>I298*Annahmen!$B$7</f>
        <v>9.2650974657465266</v>
      </c>
      <c r="M298" s="69">
        <f>I298*(1-Annahmen!$B$7)</f>
        <v>3.9707560567485118</v>
      </c>
      <c r="N298" s="69">
        <f>Annahmen!$B$8</f>
        <v>78</v>
      </c>
      <c r="O298" s="72">
        <f>INDEX(Quelle_SMARD_Preise_2025!$C$11:$C$375, MATCH($A298,Quelle_SMARD_Preise_2025!$A$11:$A$375, 0))</f>
        <v>32.32</v>
      </c>
      <c r="P298" s="69">
        <f t="shared" si="45"/>
        <v>722.67760232822911</v>
      </c>
      <c r="Q298" s="69">
        <f t="shared" si="46"/>
        <v>128.33483575411191</v>
      </c>
      <c r="R298" s="73">
        <f>Annahmen!$B$9</f>
        <v>0.05</v>
      </c>
      <c r="S298" s="69">
        <f t="shared" si="47"/>
        <v>0.6617926761247519</v>
      </c>
      <c r="T298" s="69">
        <f t="shared" si="48"/>
        <v>0</v>
      </c>
      <c r="U298" s="74">
        <f>$O298+Annahmen!$B$10+(T298*Annahmen!$B$11)</f>
        <v>40.32</v>
      </c>
      <c r="V298" s="74">
        <f t="shared" si="41"/>
        <v>26.683480701349996</v>
      </c>
      <c r="W298" s="74">
        <f t="shared" si="49"/>
        <v>842.96503914066386</v>
      </c>
    </row>
    <row r="299" spans="1:23" x14ac:dyDescent="0.35">
      <c r="A299" s="70">
        <v>45955</v>
      </c>
      <c r="B299" s="71" t="str">
        <f t="shared" si="42"/>
        <v>Sa</v>
      </c>
      <c r="C299" s="69">
        <f t="shared" si="43"/>
        <v>10</v>
      </c>
      <c r="D299" s="69">
        <v>298</v>
      </c>
      <c r="E299" s="69" t="str">
        <f>IF(OR(COUNTIF(Feiertage_Hessen_2025!$C$4:$C$13,A299)&gt;0,WEEKDAY(A299,2)=7),"FT",IF(WEEKDAY(A299,2)=6,"SA","WT"))</f>
        <v>SA</v>
      </c>
      <c r="F299" s="69">
        <f>INDEX('BDEW-H25 Tagessummen'!$C$4:$C$39, MATCH(C299&amp;"_"&amp;E299, 'BDEW-H25 Tagessummen'!$D$4:$D$39, 0))</f>
        <v>2972.8519999999994</v>
      </c>
      <c r="G299" s="69">
        <f t="shared" si="40"/>
        <v>1.0087376769280008</v>
      </c>
      <c r="H299" s="69">
        <f>Tabelle1[[#This Row],[Profilwert (kWh)]]*Tabelle1[[#This Row],[Dynamisierungsfaktor]]</f>
        <v>2998.8278203307605</v>
      </c>
      <c r="I299" s="69">
        <f>Annahmen!$B$5*(H299/SUM($H$2:$H$366))</f>
        <v>15.000624590980195</v>
      </c>
      <c r="J299" s="69">
        <f>Annahmen!$B$6</f>
        <v>130</v>
      </c>
      <c r="K299" s="69">
        <f t="shared" si="44"/>
        <v>1950.0811968274254</v>
      </c>
      <c r="L299" s="69">
        <f>I299*Annahmen!$B$7</f>
        <v>10.500437213686135</v>
      </c>
      <c r="M299" s="69">
        <f>I299*(1-Annahmen!$B$7)</f>
        <v>4.5001873772940595</v>
      </c>
      <c r="N299" s="69">
        <f>Annahmen!$B$8</f>
        <v>78</v>
      </c>
      <c r="O299" s="72">
        <f>INDEX(Quelle_SMARD_Preise_2025!$C$11:$C$375, MATCH($A299,Quelle_SMARD_Preise_2025!$A$11:$A$375, 0))</f>
        <v>11.22</v>
      </c>
      <c r="P299" s="69">
        <f t="shared" si="45"/>
        <v>819.0341026675186</v>
      </c>
      <c r="Q299" s="69">
        <f t="shared" si="46"/>
        <v>50.492102373239348</v>
      </c>
      <c r="R299" s="73">
        <f>Annahmen!$B$9</f>
        <v>0.05</v>
      </c>
      <c r="S299" s="69">
        <f t="shared" si="47"/>
        <v>0.7500312295490098</v>
      </c>
      <c r="T299" s="69">
        <f t="shared" si="48"/>
        <v>0</v>
      </c>
      <c r="U299" s="74">
        <f>$O299+Annahmen!$B$10+(T299*Annahmen!$B$11)</f>
        <v>19.22</v>
      </c>
      <c r="V299" s="74">
        <f t="shared" si="41"/>
        <v>14.415600231931968</v>
      </c>
      <c r="W299" s="74">
        <f t="shared" si="49"/>
        <v>1066.1393915547358</v>
      </c>
    </row>
    <row r="300" spans="1:23" x14ac:dyDescent="0.35">
      <c r="A300" s="70">
        <v>45956</v>
      </c>
      <c r="B300" s="71" t="str">
        <f t="shared" si="42"/>
        <v>So</v>
      </c>
      <c r="C300" s="69">
        <f t="shared" si="43"/>
        <v>10</v>
      </c>
      <c r="D300" s="69">
        <v>299</v>
      </c>
      <c r="E300" s="69" t="str">
        <f>IF(OR(COUNTIF(Feiertage_Hessen_2025!$C$4:$C$13,A300)&gt;0,WEEKDAY(A300,2)=7),"FT",IF(WEEKDAY(A300,2)=6,"SA","WT"))</f>
        <v>FT</v>
      </c>
      <c r="F300" s="69">
        <f>INDEX('BDEW-H25 Tagessummen'!$C$4:$C$39, MATCH(C300&amp;"_"&amp;E300, 'BDEW-H25 Tagessummen'!$D$4:$D$39, 0))</f>
        <v>3127.2450000000008</v>
      </c>
      <c r="G300" s="69">
        <f t="shared" si="40"/>
        <v>1.0127622700080008</v>
      </c>
      <c r="H300" s="69">
        <f>Tabelle1[[#This Row],[Profilwert (kWh)]]*Tabelle1[[#This Row],[Dynamisierungsfaktor]]</f>
        <v>3167.1557450711712</v>
      </c>
      <c r="I300" s="69">
        <f>Annahmen!$B$5*(H300/SUM($H$2:$H$366))</f>
        <v>15.842628253241527</v>
      </c>
      <c r="J300" s="69">
        <f>Annahmen!$B$6</f>
        <v>130</v>
      </c>
      <c r="K300" s="69">
        <f t="shared" si="44"/>
        <v>2059.5416729213985</v>
      </c>
      <c r="L300" s="69">
        <f>I300*Annahmen!$B$7</f>
        <v>11.089839777269068</v>
      </c>
      <c r="M300" s="69">
        <f>I300*(1-Annahmen!$B$7)</f>
        <v>4.7527884759724586</v>
      </c>
      <c r="N300" s="69">
        <f>Annahmen!$B$8</f>
        <v>78</v>
      </c>
      <c r="O300" s="72">
        <f>INDEX(Quelle_SMARD_Preise_2025!$C$11:$C$375, MATCH($A300,Quelle_SMARD_Preise_2025!$A$11:$A$375, 0))</f>
        <v>6.52</v>
      </c>
      <c r="P300" s="69">
        <f t="shared" si="45"/>
        <v>865.00750262698728</v>
      </c>
      <c r="Q300" s="69">
        <f t="shared" si="46"/>
        <v>30.988180863340428</v>
      </c>
      <c r="R300" s="73">
        <f>Annahmen!$B$9</f>
        <v>0.05</v>
      </c>
      <c r="S300" s="69">
        <f t="shared" si="47"/>
        <v>0.79213141266207643</v>
      </c>
      <c r="T300" s="69">
        <f t="shared" si="48"/>
        <v>0</v>
      </c>
      <c r="U300" s="74">
        <f>$O300+Annahmen!$B$10+(T300*Annahmen!$B$11)</f>
        <v>14.52</v>
      </c>
      <c r="V300" s="74">
        <f t="shared" si="41"/>
        <v>11.501748111853349</v>
      </c>
      <c r="W300" s="74">
        <f t="shared" si="49"/>
        <v>1152.0442413192172</v>
      </c>
    </row>
    <row r="301" spans="1:23" x14ac:dyDescent="0.35">
      <c r="A301" s="70">
        <v>45957</v>
      </c>
      <c r="B301" s="71" t="str">
        <f t="shared" si="42"/>
        <v>Mo</v>
      </c>
      <c r="C301" s="69">
        <f t="shared" si="43"/>
        <v>10</v>
      </c>
      <c r="D301" s="69">
        <v>300</v>
      </c>
      <c r="E301" s="69" t="str">
        <f>IF(OR(COUNTIF(Feiertage_Hessen_2025!$C$4:$C$13,A301)&gt;0,WEEKDAY(A301,2)=7),"FT",IF(WEEKDAY(A301,2)=6,"SA","WT"))</f>
        <v>WT</v>
      </c>
      <c r="F301" s="69">
        <f>INDEX('BDEW-H25 Tagessummen'!$C$4:$C$39, MATCH(C301&amp;"_"&amp;E301, 'BDEW-H25 Tagessummen'!$D$4:$D$39, 0))</f>
        <v>2633.5770000000007</v>
      </c>
      <c r="G301" s="69">
        <f t="shared" si="40"/>
        <v>1.0168000000000008</v>
      </c>
      <c r="H301" s="69">
        <f>Tabelle1[[#This Row],[Profilwert (kWh)]]*Tabelle1[[#This Row],[Dynamisierungsfaktor]]</f>
        <v>2677.8210936000028</v>
      </c>
      <c r="I301" s="69">
        <f>Annahmen!$B$5*(H301/SUM($H$2:$H$366))</f>
        <v>13.394896724171105</v>
      </c>
      <c r="J301" s="69">
        <f>Annahmen!$B$6</f>
        <v>130</v>
      </c>
      <c r="K301" s="69">
        <f t="shared" si="44"/>
        <v>1741.3365741422435</v>
      </c>
      <c r="L301" s="69">
        <f>I301*Annahmen!$B$7</f>
        <v>9.3764277069197721</v>
      </c>
      <c r="M301" s="69">
        <f>I301*(1-Annahmen!$B$7)</f>
        <v>4.0184690172513315</v>
      </c>
      <c r="N301" s="69">
        <f>Annahmen!$B$8</f>
        <v>78</v>
      </c>
      <c r="O301" s="72">
        <f>INDEX(Quelle_SMARD_Preise_2025!$C$11:$C$375, MATCH($A301,Quelle_SMARD_Preise_2025!$A$11:$A$375, 0))</f>
        <v>68.400000000000006</v>
      </c>
      <c r="P301" s="69">
        <f t="shared" si="45"/>
        <v>731.36136113974226</v>
      </c>
      <c r="Q301" s="69">
        <f t="shared" si="46"/>
        <v>274.8632807799911</v>
      </c>
      <c r="R301" s="73">
        <f>Annahmen!$B$9</f>
        <v>0.05</v>
      </c>
      <c r="S301" s="69">
        <f t="shared" si="47"/>
        <v>0.66974483620855529</v>
      </c>
      <c r="T301" s="69">
        <f t="shared" si="48"/>
        <v>0</v>
      </c>
      <c r="U301" s="74">
        <f>$O301+Annahmen!$B$10+(T301*Annahmen!$B$11)</f>
        <v>76.400000000000006</v>
      </c>
      <c r="V301" s="74">
        <f t="shared" si="41"/>
        <v>51.168505486333629</v>
      </c>
      <c r="W301" s="74">
        <f t="shared" si="49"/>
        <v>683.94342673617655</v>
      </c>
    </row>
    <row r="302" spans="1:23" x14ac:dyDescent="0.35">
      <c r="A302" s="70">
        <v>45958</v>
      </c>
      <c r="B302" s="71" t="str">
        <f t="shared" si="42"/>
        <v>Di</v>
      </c>
      <c r="C302" s="69">
        <f t="shared" si="43"/>
        <v>10</v>
      </c>
      <c r="D302" s="69">
        <v>301</v>
      </c>
      <c r="E302" s="69" t="str">
        <f>IF(OR(COUNTIF(Feiertage_Hessen_2025!$C$4:$C$13,A302)&gt;0,WEEKDAY(A302,2)=7),"FT",IF(WEEKDAY(A302,2)=6,"SA","WT"))</f>
        <v>WT</v>
      </c>
      <c r="F302" s="69">
        <f>INDEX('BDEW-H25 Tagessummen'!$C$4:$C$39, MATCH(C302&amp;"_"&amp;E302, 'BDEW-H25 Tagessummen'!$D$4:$D$39, 0))</f>
        <v>2633.5770000000007</v>
      </c>
      <c r="G302" s="69">
        <f t="shared" si="40"/>
        <v>1.0208499692080015</v>
      </c>
      <c r="H302" s="69">
        <f>Tabelle1[[#This Row],[Profilwert (kWh)]]*Tabelle1[[#This Row],[Dynamisierungsfaktor]]</f>
        <v>2688.4869993569018</v>
      </c>
      <c r="I302" s="69">
        <f>Annahmen!$B$5*(H302/SUM($H$2:$H$366))</f>
        <v>13.448249319841093</v>
      </c>
      <c r="J302" s="69">
        <f>Annahmen!$B$6</f>
        <v>130</v>
      </c>
      <c r="K302" s="69">
        <f t="shared" si="44"/>
        <v>1748.2724115793421</v>
      </c>
      <c r="L302" s="69">
        <f>I302*Annahmen!$B$7</f>
        <v>9.4137745238887636</v>
      </c>
      <c r="M302" s="69">
        <f>I302*(1-Annahmen!$B$7)</f>
        <v>4.0344747959523284</v>
      </c>
      <c r="N302" s="69">
        <f>Annahmen!$B$8</f>
        <v>78</v>
      </c>
      <c r="O302" s="72">
        <f>INDEX(Quelle_SMARD_Preise_2025!$C$11:$C$375, MATCH($A302,Quelle_SMARD_Preise_2025!$A$11:$A$375, 0))</f>
        <v>66.67</v>
      </c>
      <c r="P302" s="69">
        <f t="shared" si="45"/>
        <v>734.27441286332351</v>
      </c>
      <c r="Q302" s="69">
        <f t="shared" si="46"/>
        <v>268.97843464614175</v>
      </c>
      <c r="R302" s="73">
        <f>Annahmen!$B$9</f>
        <v>0.05</v>
      </c>
      <c r="S302" s="69">
        <f t="shared" si="47"/>
        <v>0.67241246599205473</v>
      </c>
      <c r="T302" s="69">
        <f t="shared" si="48"/>
        <v>0</v>
      </c>
      <c r="U302" s="74">
        <f>$O302+Annahmen!$B$10+(T302*Annahmen!$B$11)</f>
        <v>74.67</v>
      </c>
      <c r="V302" s="74">
        <f t="shared" si="41"/>
        <v>50.209038835626728</v>
      </c>
      <c r="W302" s="74">
        <f t="shared" si="49"/>
        <v>694.81052523425012</v>
      </c>
    </row>
    <row r="303" spans="1:23" x14ac:dyDescent="0.35">
      <c r="A303" s="70">
        <v>45959</v>
      </c>
      <c r="B303" s="71" t="str">
        <f t="shared" si="42"/>
        <v>Mi</v>
      </c>
      <c r="C303" s="69">
        <f t="shared" si="43"/>
        <v>10</v>
      </c>
      <c r="D303" s="69">
        <v>302</v>
      </c>
      <c r="E303" s="69" t="str">
        <f>IF(OR(COUNTIF(Feiertage_Hessen_2025!$C$4:$C$13,A303)&gt;0,WEEKDAY(A303,2)=7),"FT",IF(WEEKDAY(A303,2)=6,"SA","WT"))</f>
        <v>WT</v>
      </c>
      <c r="F303" s="69">
        <f>INDEX('BDEW-H25 Tagessummen'!$C$4:$C$39, MATCH(C303&amp;"_"&amp;E303, 'BDEW-H25 Tagessummen'!$D$4:$D$39, 0))</f>
        <v>2633.5770000000007</v>
      </c>
      <c r="G303" s="69">
        <f t="shared" si="40"/>
        <v>1.0249112705280012</v>
      </c>
      <c r="H303" s="69">
        <f>Tabelle1[[#This Row],[Profilwert (kWh)]]*Tabelle1[[#This Row],[Dynamisierungsfaktor]]</f>
        <v>2699.1827491033227</v>
      </c>
      <c r="I303" s="69">
        <f>Annahmen!$B$5*(H303/SUM($H$2:$H$366))</f>
        <v>13.501751200001534</v>
      </c>
      <c r="J303" s="69">
        <f>Annahmen!$B$6</f>
        <v>130</v>
      </c>
      <c r="K303" s="69">
        <f t="shared" si="44"/>
        <v>1755.2276560001994</v>
      </c>
      <c r="L303" s="69">
        <f>I303*Annahmen!$B$7</f>
        <v>9.451225840001074</v>
      </c>
      <c r="M303" s="69">
        <f>I303*(1-Annahmen!$B$7)</f>
        <v>4.0505253600004609</v>
      </c>
      <c r="N303" s="69">
        <f>Annahmen!$B$8</f>
        <v>78</v>
      </c>
      <c r="O303" s="72">
        <f>INDEX(Quelle_SMARD_Preise_2025!$C$11:$C$375, MATCH($A303,Quelle_SMARD_Preise_2025!$A$11:$A$375, 0))</f>
        <v>87.72</v>
      </c>
      <c r="P303" s="69">
        <f t="shared" si="45"/>
        <v>737.19561552008372</v>
      </c>
      <c r="Q303" s="69">
        <f t="shared" si="46"/>
        <v>355.31208457924043</v>
      </c>
      <c r="R303" s="73">
        <f>Annahmen!$B$9</f>
        <v>0.05</v>
      </c>
      <c r="S303" s="69">
        <f t="shared" si="47"/>
        <v>0.67508756000007675</v>
      </c>
      <c r="T303" s="69">
        <f t="shared" si="48"/>
        <v>0</v>
      </c>
      <c r="U303" s="74">
        <f>$O303+Annahmen!$B$10+(T303*Annahmen!$B$11)</f>
        <v>95.72</v>
      </c>
      <c r="V303" s="74">
        <f t="shared" si="41"/>
        <v>64.619381243207343</v>
      </c>
      <c r="W303" s="74">
        <f t="shared" si="49"/>
        <v>598.10057465766783</v>
      </c>
    </row>
    <row r="304" spans="1:23" x14ac:dyDescent="0.35">
      <c r="A304" s="70">
        <v>45960</v>
      </c>
      <c r="B304" s="71" t="str">
        <f t="shared" si="42"/>
        <v>Do</v>
      </c>
      <c r="C304" s="69">
        <f t="shared" si="43"/>
        <v>10</v>
      </c>
      <c r="D304" s="69">
        <v>303</v>
      </c>
      <c r="E304" s="69" t="str">
        <f>IF(OR(COUNTIF(Feiertage_Hessen_2025!$C$4:$C$13,A304)&gt;0,WEEKDAY(A304,2)=7),"FT",IF(WEEKDAY(A304,2)=6,"SA","WT"))</f>
        <v>WT</v>
      </c>
      <c r="F304" s="69">
        <f>INDEX('BDEW-H25 Tagessummen'!$C$4:$C$39, MATCH(C304&amp;"_"&amp;E304, 'BDEW-H25 Tagessummen'!$D$4:$D$39, 0))</f>
        <v>2633.5770000000007</v>
      </c>
      <c r="G304" s="69">
        <f t="shared" si="40"/>
        <v>1.0289829874480003</v>
      </c>
      <c r="H304" s="69">
        <f>Tabelle1[[#This Row],[Profilwert (kWh)]]*Tabelle1[[#This Row],[Dynamisierungsfaktor]]</f>
        <v>2709.9059291343428</v>
      </c>
      <c r="I304" s="69">
        <f>Annahmen!$B$5*(H304/SUM($H$2:$H$366))</f>
        <v>13.555390290907754</v>
      </c>
      <c r="J304" s="69">
        <f>Annahmen!$B$6</f>
        <v>130</v>
      </c>
      <c r="K304" s="69">
        <f t="shared" si="44"/>
        <v>1762.2007378180081</v>
      </c>
      <c r="L304" s="69">
        <f>I304*Annahmen!$B$7</f>
        <v>9.4887732036354269</v>
      </c>
      <c r="M304" s="69">
        <f>I304*(1-Annahmen!$B$7)</f>
        <v>4.0666170872723271</v>
      </c>
      <c r="N304" s="69">
        <f>Annahmen!$B$8</f>
        <v>78</v>
      </c>
      <c r="O304" s="72">
        <f>INDEX(Quelle_SMARD_Preise_2025!$C$11:$C$375, MATCH($A304,Quelle_SMARD_Preise_2025!$A$11:$A$375, 0))</f>
        <v>69.41</v>
      </c>
      <c r="P304" s="69">
        <f t="shared" si="45"/>
        <v>740.12430988356334</v>
      </c>
      <c r="Q304" s="69">
        <f t="shared" si="46"/>
        <v>282.26389202757218</v>
      </c>
      <c r="R304" s="73">
        <f>Annahmen!$B$9</f>
        <v>0.05</v>
      </c>
      <c r="S304" s="69">
        <f t="shared" si="47"/>
        <v>0.6777695145453877</v>
      </c>
      <c r="T304" s="69">
        <f t="shared" si="48"/>
        <v>0</v>
      </c>
      <c r="U304" s="74">
        <f>$O304+Annahmen!$B$10+(T304*Annahmen!$B$11)</f>
        <v>77.41</v>
      </c>
      <c r="V304" s="74">
        <f t="shared" si="41"/>
        <v>52.466138120958462</v>
      </c>
      <c r="W304" s="74">
        <f t="shared" si="49"/>
        <v>687.34639778591406</v>
      </c>
    </row>
    <row r="305" spans="1:23" x14ac:dyDescent="0.35">
      <c r="A305" s="70">
        <v>45961</v>
      </c>
      <c r="B305" s="71" t="str">
        <f t="shared" si="42"/>
        <v>Fr</v>
      </c>
      <c r="C305" s="69">
        <f t="shared" si="43"/>
        <v>10</v>
      </c>
      <c r="D305" s="69">
        <v>304</v>
      </c>
      <c r="E305" s="69" t="str">
        <f>IF(OR(COUNTIF(Feiertage_Hessen_2025!$C$4:$C$13,A305)&gt;0,WEEKDAY(A305,2)=7),"FT",IF(WEEKDAY(A305,2)=6,"SA","WT"))</f>
        <v>WT</v>
      </c>
      <c r="F305" s="69">
        <f>INDEX('BDEW-H25 Tagessummen'!$C$4:$C$39, MATCH(C305&amp;"_"&amp;E305, 'BDEW-H25 Tagessummen'!$D$4:$D$39, 0))</f>
        <v>2633.5770000000007</v>
      </c>
      <c r="G305" s="69">
        <f t="shared" si="40"/>
        <v>1.0330641940480012</v>
      </c>
      <c r="H305" s="69">
        <f>Tabelle1[[#This Row],[Profilwert (kWh)]]*Tabelle1[[#This Row],[Dynamisierungsfaktor]]</f>
        <v>2720.6541009683538</v>
      </c>
      <c r="I305" s="69">
        <f>Annahmen!$B$5*(H305/SUM($H$2:$H$366))</f>
        <v>13.609154394878074</v>
      </c>
      <c r="J305" s="69">
        <f>Annahmen!$B$6</f>
        <v>130</v>
      </c>
      <c r="K305" s="69">
        <f t="shared" si="44"/>
        <v>1769.1900713341495</v>
      </c>
      <c r="L305" s="69">
        <f>I305*Annahmen!$B$7</f>
        <v>9.5264080764146506</v>
      </c>
      <c r="M305" s="69">
        <f>I305*(1-Annahmen!$B$7)</f>
        <v>4.082746318463423</v>
      </c>
      <c r="N305" s="69">
        <f>Annahmen!$B$8</f>
        <v>78</v>
      </c>
      <c r="O305" s="72">
        <f>INDEX(Quelle_SMARD_Preise_2025!$C$11:$C$375, MATCH($A305,Quelle_SMARD_Preise_2025!$A$11:$A$375, 0))</f>
        <v>93.24</v>
      </c>
      <c r="P305" s="69">
        <f t="shared" si="45"/>
        <v>743.05982996034277</v>
      </c>
      <c r="Q305" s="69">
        <f t="shared" si="46"/>
        <v>380.67526673352955</v>
      </c>
      <c r="R305" s="73">
        <f>Annahmen!$B$9</f>
        <v>0.05</v>
      </c>
      <c r="S305" s="69">
        <f t="shared" si="47"/>
        <v>0.68045771974390368</v>
      </c>
      <c r="T305" s="69">
        <f t="shared" si="48"/>
        <v>0</v>
      </c>
      <c r="U305" s="74">
        <f>$O305+Annahmen!$B$10+(T305*Annahmen!$B$11)</f>
        <v>101.24</v>
      </c>
      <c r="V305" s="74">
        <f t="shared" si="41"/>
        <v>68.889539546872811</v>
      </c>
      <c r="W305" s="74">
        <f t="shared" si="49"/>
        <v>576.5654350934044</v>
      </c>
    </row>
    <row r="306" spans="1:23" x14ac:dyDescent="0.35">
      <c r="A306" s="70">
        <v>45962</v>
      </c>
      <c r="B306" s="71" t="str">
        <f t="shared" si="42"/>
        <v>Sa</v>
      </c>
      <c r="C306" s="69">
        <f t="shared" si="43"/>
        <v>11</v>
      </c>
      <c r="D306" s="69">
        <v>305</v>
      </c>
      <c r="E306" s="69" t="str">
        <f>IF(OR(COUNTIF(Feiertage_Hessen_2025!$C$4:$C$13,A306)&gt;0,WEEKDAY(A306,2)=7),"FT",IF(WEEKDAY(A306,2)=6,"SA","WT"))</f>
        <v>SA</v>
      </c>
      <c r="F306" s="69">
        <f>INDEX('BDEW-H25 Tagessummen'!$C$4:$C$39, MATCH(C306&amp;"_"&amp;E306, 'BDEW-H25 Tagessummen'!$D$4:$D$39, 0))</f>
        <v>2944.4279999999999</v>
      </c>
      <c r="G306" s="69">
        <f t="shared" si="40"/>
        <v>1.0371539550000004</v>
      </c>
      <c r="H306" s="69">
        <f>Tabelle1[[#This Row],[Profilwert (kWh)]]*Tabelle1[[#This Row],[Dynamisierungsfaktor]]</f>
        <v>3053.8251454127412</v>
      </c>
      <c r="I306" s="69">
        <f>Annahmen!$B$5*(H306/SUM($H$2:$H$366))</f>
        <v>15.275730157718566</v>
      </c>
      <c r="J306" s="69">
        <f>Annahmen!$B$6</f>
        <v>130</v>
      </c>
      <c r="K306" s="69">
        <f t="shared" si="44"/>
        <v>1985.8449205034137</v>
      </c>
      <c r="L306" s="69">
        <f>I306*Annahmen!$B$7</f>
        <v>10.693011110402995</v>
      </c>
      <c r="M306" s="69">
        <f>I306*(1-Annahmen!$B$7)</f>
        <v>4.582719047315571</v>
      </c>
      <c r="N306" s="69">
        <f>Annahmen!$B$8</f>
        <v>78</v>
      </c>
      <c r="O306" s="72">
        <f>INDEX(Quelle_SMARD_Preise_2025!$C$11:$C$375, MATCH($A306,Quelle_SMARD_Preise_2025!$A$11:$A$375, 0))</f>
        <v>47.63</v>
      </c>
      <c r="P306" s="69">
        <f t="shared" si="45"/>
        <v>834.05486661143368</v>
      </c>
      <c r="Q306" s="69">
        <f t="shared" si="46"/>
        <v>218.27490822364067</v>
      </c>
      <c r="R306" s="73">
        <f>Annahmen!$B$9</f>
        <v>0.05</v>
      </c>
      <c r="S306" s="69">
        <f t="shared" si="47"/>
        <v>0.76378650788592839</v>
      </c>
      <c r="T306" s="69">
        <f t="shared" si="48"/>
        <v>0</v>
      </c>
      <c r="U306" s="74">
        <f>$O306+Annahmen!$B$10+(T306*Annahmen!$B$11)</f>
        <v>55.63</v>
      </c>
      <c r="V306" s="74">
        <f t="shared" si="41"/>
        <v>42.489443433694198</v>
      </c>
      <c r="W306" s="74">
        <f t="shared" si="49"/>
        <v>891.02570223464522</v>
      </c>
    </row>
    <row r="307" spans="1:23" x14ac:dyDescent="0.35">
      <c r="A307" s="70">
        <v>45963</v>
      </c>
      <c r="B307" s="71" t="str">
        <f t="shared" si="42"/>
        <v>So</v>
      </c>
      <c r="C307" s="69">
        <f t="shared" si="43"/>
        <v>11</v>
      </c>
      <c r="D307" s="69">
        <v>306</v>
      </c>
      <c r="E307" s="69" t="str">
        <f>IF(OR(COUNTIF(Feiertage_Hessen_2025!$C$4:$C$13,A307)&gt;0,WEEKDAY(A307,2)=7),"FT",IF(WEEKDAY(A307,2)=6,"SA","WT"))</f>
        <v>FT</v>
      </c>
      <c r="F307" s="69">
        <f>INDEX('BDEW-H25 Tagessummen'!$C$4:$C$39, MATCH(C307&amp;"_"&amp;E307, 'BDEW-H25 Tagessummen'!$D$4:$D$39, 0))</f>
        <v>3042.9679999999998</v>
      </c>
      <c r="G307" s="69">
        <f t="shared" si="40"/>
        <v>1.0412513255680009</v>
      </c>
      <c r="H307" s="69">
        <f>Tabelle1[[#This Row],[Profilwert (kWh)]]*Tabelle1[[#This Row],[Dynamisierungsfaktor]]</f>
        <v>3168.4944636610085</v>
      </c>
      <c r="I307" s="69">
        <f>Annahmen!$B$5*(H307/SUM($H$2:$H$366))</f>
        <v>15.849324741403658</v>
      </c>
      <c r="J307" s="69">
        <f>Annahmen!$B$6</f>
        <v>130</v>
      </c>
      <c r="K307" s="69">
        <f t="shared" si="44"/>
        <v>2060.4122163824754</v>
      </c>
      <c r="L307" s="69">
        <f>I307*Annahmen!$B$7</f>
        <v>11.094527318982561</v>
      </c>
      <c r="M307" s="69">
        <f>I307*(1-Annahmen!$B$7)</f>
        <v>4.754797422421098</v>
      </c>
      <c r="N307" s="69">
        <f>Annahmen!$B$8</f>
        <v>78</v>
      </c>
      <c r="O307" s="72">
        <f>INDEX(Quelle_SMARD_Preise_2025!$C$11:$C$375, MATCH($A307,Quelle_SMARD_Preise_2025!$A$11:$A$375, 0))</f>
        <v>85.91</v>
      </c>
      <c r="P307" s="69">
        <f t="shared" si="45"/>
        <v>865.37313088063968</v>
      </c>
      <c r="Q307" s="69">
        <f t="shared" si="46"/>
        <v>408.4846465601965</v>
      </c>
      <c r="R307" s="73">
        <f>Annahmen!$B$9</f>
        <v>0.05</v>
      </c>
      <c r="S307" s="69">
        <f t="shared" si="47"/>
        <v>0.79246623707018293</v>
      </c>
      <c r="T307" s="69">
        <f t="shared" si="48"/>
        <v>0</v>
      </c>
      <c r="U307" s="74">
        <f>$O307+Annahmen!$B$10+(T307*Annahmen!$B$11)</f>
        <v>93.91</v>
      </c>
      <c r="V307" s="74">
        <f t="shared" si="41"/>
        <v>74.420504323260872</v>
      </c>
      <c r="W307" s="74">
        <f t="shared" si="49"/>
        <v>712.13393461837848</v>
      </c>
    </row>
    <row r="308" spans="1:23" x14ac:dyDescent="0.35">
      <c r="A308" s="70">
        <v>45964</v>
      </c>
      <c r="B308" s="71" t="str">
        <f t="shared" si="42"/>
        <v>Mo</v>
      </c>
      <c r="C308" s="69">
        <f t="shared" si="43"/>
        <v>11</v>
      </c>
      <c r="D308" s="69">
        <v>307</v>
      </c>
      <c r="E308" s="69" t="str">
        <f>IF(OR(COUNTIF(Feiertage_Hessen_2025!$C$4:$C$13,A308)&gt;0,WEEKDAY(A308,2)=7),"FT",IF(WEEKDAY(A308,2)=6,"SA","WT"))</f>
        <v>WT</v>
      </c>
      <c r="F308" s="69">
        <f>INDEX('BDEW-H25 Tagessummen'!$C$4:$C$39, MATCH(C308&amp;"_"&amp;E308, 'BDEW-H25 Tagessummen'!$D$4:$D$39, 0))</f>
        <v>2541.8630000000003</v>
      </c>
      <c r="G308" s="69">
        <f t="shared" si="40"/>
        <v>1.045355351607999</v>
      </c>
      <c r="H308" s="69">
        <f>Tabelle1[[#This Row],[Profilwert (kWh)]]*Tabelle1[[#This Row],[Dynamisierungsfaktor]]</f>
        <v>2657.1500901043632</v>
      </c>
      <c r="I308" s="69">
        <f>Annahmen!$B$5*(H308/SUM($H$2:$H$366))</f>
        <v>13.291497002034765</v>
      </c>
      <c r="J308" s="69">
        <f>Annahmen!$B$6</f>
        <v>130</v>
      </c>
      <c r="K308" s="69">
        <f t="shared" si="44"/>
        <v>1727.8946102645195</v>
      </c>
      <c r="L308" s="69">
        <f>I308*Annahmen!$B$7</f>
        <v>9.3040479014243349</v>
      </c>
      <c r="M308" s="69">
        <f>I308*(1-Annahmen!$B$7)</f>
        <v>3.98744910061043</v>
      </c>
      <c r="N308" s="69">
        <f>Annahmen!$B$8</f>
        <v>78</v>
      </c>
      <c r="O308" s="72">
        <f>INDEX(Quelle_SMARD_Preise_2025!$C$11:$C$375, MATCH($A308,Quelle_SMARD_Preise_2025!$A$11:$A$375, 0))</f>
        <v>78.290000000000006</v>
      </c>
      <c r="P308" s="69">
        <f t="shared" si="45"/>
        <v>725.71573631109811</v>
      </c>
      <c r="Q308" s="69">
        <f t="shared" si="46"/>
        <v>312.17739008679058</v>
      </c>
      <c r="R308" s="73">
        <f>Annahmen!$B$9</f>
        <v>0.05</v>
      </c>
      <c r="S308" s="69">
        <f t="shared" si="47"/>
        <v>0.66457485010173833</v>
      </c>
      <c r="T308" s="69">
        <f t="shared" si="48"/>
        <v>0</v>
      </c>
      <c r="U308" s="74">
        <f>$O308+Annahmen!$B$10+(T308*Annahmen!$B$11)</f>
        <v>86.29</v>
      </c>
      <c r="V308" s="74">
        <f t="shared" si="41"/>
        <v>57.346163815279006</v>
      </c>
      <c r="W308" s="74">
        <f t="shared" si="49"/>
        <v>632.65532005135185</v>
      </c>
    </row>
    <row r="309" spans="1:23" x14ac:dyDescent="0.35">
      <c r="A309" s="70">
        <v>45965</v>
      </c>
      <c r="B309" s="71" t="str">
        <f t="shared" si="42"/>
        <v>Di</v>
      </c>
      <c r="C309" s="69">
        <f t="shared" si="43"/>
        <v>11</v>
      </c>
      <c r="D309" s="69">
        <v>308</v>
      </c>
      <c r="E309" s="69" t="str">
        <f>IF(OR(COUNTIF(Feiertage_Hessen_2025!$C$4:$C$13,A309)&gt;0,WEEKDAY(A309,2)=7),"FT",IF(WEEKDAY(A309,2)=6,"SA","WT"))</f>
        <v>WT</v>
      </c>
      <c r="F309" s="69">
        <f>INDEX('BDEW-H25 Tagessummen'!$C$4:$C$39, MATCH(C309&amp;"_"&amp;E309, 'BDEW-H25 Tagessummen'!$D$4:$D$39, 0))</f>
        <v>2541.8630000000003</v>
      </c>
      <c r="G309" s="69">
        <f t="shared" si="40"/>
        <v>1.0494650695680008</v>
      </c>
      <c r="H309" s="69">
        <f>Tabelle1[[#This Row],[Profilwert (kWh)]]*Tabelle1[[#This Row],[Dynamisierungsfaktor]]</f>
        <v>2667.5964301273275</v>
      </c>
      <c r="I309" s="69">
        <f>Annahmen!$B$5*(H309/SUM($H$2:$H$366))</f>
        <v>13.3437512941858</v>
      </c>
      <c r="J309" s="69">
        <f>Annahmen!$B$6</f>
        <v>130</v>
      </c>
      <c r="K309" s="69">
        <f t="shared" si="44"/>
        <v>1734.6876682441541</v>
      </c>
      <c r="L309" s="69">
        <f>I309*Annahmen!$B$7</f>
        <v>9.3406259059300591</v>
      </c>
      <c r="M309" s="69">
        <f>I309*(1-Annahmen!$B$7)</f>
        <v>4.0031253882557403</v>
      </c>
      <c r="N309" s="69">
        <f>Annahmen!$B$8</f>
        <v>78</v>
      </c>
      <c r="O309" s="72">
        <f>INDEX(Quelle_SMARD_Preise_2025!$C$11:$C$375, MATCH($A309,Quelle_SMARD_Preise_2025!$A$11:$A$375, 0))</f>
        <v>73.55</v>
      </c>
      <c r="P309" s="69">
        <f t="shared" si="45"/>
        <v>728.56882066254457</v>
      </c>
      <c r="Q309" s="69">
        <f t="shared" si="46"/>
        <v>294.42987230620969</v>
      </c>
      <c r="R309" s="73">
        <f>Annahmen!$B$9</f>
        <v>0.05</v>
      </c>
      <c r="S309" s="69">
        <f t="shared" si="47"/>
        <v>0.66718756470929008</v>
      </c>
      <c r="T309" s="69">
        <f t="shared" si="48"/>
        <v>0</v>
      </c>
      <c r="U309" s="74">
        <f>$O309+Annahmen!$B$10+(T309*Annahmen!$B$11)</f>
        <v>81.55</v>
      </c>
      <c r="V309" s="74">
        <f t="shared" si="41"/>
        <v>54.409145902042603</v>
      </c>
      <c r="W309" s="74">
        <f t="shared" si="49"/>
        <v>657.27982937335719</v>
      </c>
    </row>
    <row r="310" spans="1:23" x14ac:dyDescent="0.35">
      <c r="A310" s="70">
        <v>45966</v>
      </c>
      <c r="B310" s="71" t="str">
        <f t="shared" si="42"/>
        <v>Mi</v>
      </c>
      <c r="C310" s="69">
        <f t="shared" si="43"/>
        <v>11</v>
      </c>
      <c r="D310" s="69">
        <v>309</v>
      </c>
      <c r="E310" s="69" t="str">
        <f>IF(OR(COUNTIF(Feiertage_Hessen_2025!$C$4:$C$13,A310)&gt;0,WEEKDAY(A310,2)=7),"FT",IF(WEEKDAY(A310,2)=6,"SA","WT"))</f>
        <v>WT</v>
      </c>
      <c r="F310" s="69">
        <f>INDEX('BDEW-H25 Tagessummen'!$C$4:$C$39, MATCH(C310&amp;"_"&amp;E310, 'BDEW-H25 Tagessummen'!$D$4:$D$39, 0))</f>
        <v>2541.8630000000003</v>
      </c>
      <c r="G310" s="69">
        <f t="shared" si="40"/>
        <v>1.0535795064879987</v>
      </c>
      <c r="H310" s="69">
        <f>Tabelle1[[#This Row],[Profilwert (kWh)]]*Tabelle1[[#This Row],[Dynamisierungsfaktor]]</f>
        <v>2678.0547651001043</v>
      </c>
      <c r="I310" s="69">
        <f>Annahmen!$B$5*(H310/SUM($H$2:$H$366))</f>
        <v>13.396065587027074</v>
      </c>
      <c r="J310" s="69">
        <f>Annahmen!$B$6</f>
        <v>130</v>
      </c>
      <c r="K310" s="69">
        <f t="shared" si="44"/>
        <v>1741.4885263135197</v>
      </c>
      <c r="L310" s="69">
        <f>I310*Annahmen!$B$7</f>
        <v>9.3772459109189512</v>
      </c>
      <c r="M310" s="69">
        <f>I310*(1-Annahmen!$B$7)</f>
        <v>4.018819676108123</v>
      </c>
      <c r="N310" s="69">
        <f>Annahmen!$B$8</f>
        <v>78</v>
      </c>
      <c r="O310" s="72">
        <f>INDEX(Quelle_SMARD_Preise_2025!$C$11:$C$375, MATCH($A310,Quelle_SMARD_Preise_2025!$A$11:$A$375, 0))</f>
        <v>93.43</v>
      </c>
      <c r="P310" s="69">
        <f t="shared" si="45"/>
        <v>731.42518105167824</v>
      </c>
      <c r="Q310" s="69">
        <f t="shared" si="46"/>
        <v>375.47832233878194</v>
      </c>
      <c r="R310" s="73">
        <f>Annahmen!$B$9</f>
        <v>0.05</v>
      </c>
      <c r="S310" s="69">
        <f t="shared" si="47"/>
        <v>0.66980327935135375</v>
      </c>
      <c r="T310" s="69">
        <f t="shared" si="48"/>
        <v>0</v>
      </c>
      <c r="U310" s="74">
        <f>$O310+Annahmen!$B$10+(T310*Annahmen!$B$11)</f>
        <v>101.43</v>
      </c>
      <c r="V310" s="74">
        <f t="shared" si="41"/>
        <v>67.938146624607811</v>
      </c>
      <c r="W310" s="74">
        <f t="shared" si="49"/>
        <v>566.64687629845173</v>
      </c>
    </row>
    <row r="311" spans="1:23" x14ac:dyDescent="0.35">
      <c r="A311" s="70">
        <v>45967</v>
      </c>
      <c r="B311" s="71" t="str">
        <f t="shared" si="42"/>
        <v>Do</v>
      </c>
      <c r="C311" s="69">
        <f t="shared" si="43"/>
        <v>11</v>
      </c>
      <c r="D311" s="69">
        <v>310</v>
      </c>
      <c r="E311" s="69" t="str">
        <f>IF(OR(COUNTIF(Feiertage_Hessen_2025!$C$4:$C$13,A311)&gt;0,WEEKDAY(A311,2)=7),"FT",IF(WEEKDAY(A311,2)=6,"SA","WT"))</f>
        <v>WT</v>
      </c>
      <c r="F311" s="69">
        <f>INDEX('BDEW-H25 Tagessummen'!$C$4:$C$39, MATCH(C311&amp;"_"&amp;E311, 'BDEW-H25 Tagessummen'!$D$4:$D$39, 0))</f>
        <v>2541.8630000000003</v>
      </c>
      <c r="G311" s="69">
        <f t="shared" si="40"/>
        <v>1.0576976800000004</v>
      </c>
      <c r="H311" s="69">
        <f>Tabelle1[[#This Row],[Profilwert (kWh)]]*Tabelle1[[#This Row],[Dynamisierungsfaktor]]</f>
        <v>2688.5225979778415</v>
      </c>
      <c r="I311" s="69">
        <f>Annahmen!$B$5*(H311/SUM($H$2:$H$366))</f>
        <v>13.448427389934031</v>
      </c>
      <c r="J311" s="69">
        <f>Annahmen!$B$6</f>
        <v>130</v>
      </c>
      <c r="K311" s="69">
        <f t="shared" si="44"/>
        <v>1748.295560691424</v>
      </c>
      <c r="L311" s="69">
        <f>I311*Annahmen!$B$7</f>
        <v>9.4138991729538208</v>
      </c>
      <c r="M311" s="69">
        <f>I311*(1-Annahmen!$B$7)</f>
        <v>4.0345282169802097</v>
      </c>
      <c r="N311" s="69">
        <f>Annahmen!$B$8</f>
        <v>78</v>
      </c>
      <c r="O311" s="72">
        <f>INDEX(Quelle_SMARD_Preise_2025!$C$11:$C$375, MATCH($A311,Quelle_SMARD_Preise_2025!$A$11:$A$375, 0))</f>
        <v>106.21</v>
      </c>
      <c r="P311" s="69">
        <f t="shared" si="45"/>
        <v>734.28413549039806</v>
      </c>
      <c r="Q311" s="69">
        <f t="shared" si="46"/>
        <v>428.50724192546807</v>
      </c>
      <c r="R311" s="73">
        <f>Annahmen!$B$9</f>
        <v>0.05</v>
      </c>
      <c r="S311" s="69">
        <f t="shared" si="47"/>
        <v>0.67242136949670162</v>
      </c>
      <c r="T311" s="69">
        <f t="shared" si="48"/>
        <v>0</v>
      </c>
      <c r="U311" s="74">
        <f>$O311+Annahmen!$B$10+(T311*Annahmen!$B$11)</f>
        <v>114.21</v>
      </c>
      <c r="V311" s="74">
        <f t="shared" si="41"/>
        <v>76.797244610218286</v>
      </c>
      <c r="W311" s="74">
        <f t="shared" si="49"/>
        <v>508.70693866533964</v>
      </c>
    </row>
    <row r="312" spans="1:23" x14ac:dyDescent="0.35">
      <c r="A312" s="70">
        <v>45968</v>
      </c>
      <c r="B312" s="71" t="str">
        <f t="shared" si="42"/>
        <v>Fr</v>
      </c>
      <c r="C312" s="69">
        <f t="shared" si="43"/>
        <v>11</v>
      </c>
      <c r="D312" s="69">
        <v>311</v>
      </c>
      <c r="E312" s="69" t="str">
        <f>IF(OR(COUNTIF(Feiertage_Hessen_2025!$C$4:$C$13,A312)&gt;0,WEEKDAY(A312,2)=7),"FT",IF(WEEKDAY(A312,2)=6,"SA","WT"))</f>
        <v>WT</v>
      </c>
      <c r="F312" s="69">
        <f>INDEX('BDEW-H25 Tagessummen'!$C$4:$C$39, MATCH(C312&amp;"_"&amp;E312, 'BDEW-H25 Tagessummen'!$D$4:$D$39, 0))</f>
        <v>2541.8630000000003</v>
      </c>
      <c r="G312" s="69">
        <f t="shared" si="40"/>
        <v>1.0618185983280015</v>
      </c>
      <c r="H312" s="69">
        <f>Tabelle1[[#This Row],[Profilwert (kWh)]]*Tabelle1[[#This Row],[Dynamisierungsfaktor]]</f>
        <v>2698.997407801809</v>
      </c>
      <c r="I312" s="69">
        <f>Annahmen!$B$5*(H312/SUM($H$2:$H$366))</f>
        <v>13.500824092661004</v>
      </c>
      <c r="J312" s="69">
        <f>Annahmen!$B$6</f>
        <v>130</v>
      </c>
      <c r="K312" s="69">
        <f t="shared" si="44"/>
        <v>1755.1071320459305</v>
      </c>
      <c r="L312" s="69">
        <f>I312*Annahmen!$B$7</f>
        <v>9.4505768648627022</v>
      </c>
      <c r="M312" s="69">
        <f>I312*(1-Annahmen!$B$7)</f>
        <v>4.0502472277983017</v>
      </c>
      <c r="N312" s="69">
        <f>Annahmen!$B$8</f>
        <v>78</v>
      </c>
      <c r="O312" s="72">
        <f>INDEX(Quelle_SMARD_Preise_2025!$C$11:$C$375, MATCH($A312,Quelle_SMARD_Preise_2025!$A$11:$A$375, 0))</f>
        <v>110.8</v>
      </c>
      <c r="P312" s="69">
        <f t="shared" si="45"/>
        <v>737.14499545929073</v>
      </c>
      <c r="Q312" s="69">
        <f t="shared" si="46"/>
        <v>448.7673928400518</v>
      </c>
      <c r="R312" s="73">
        <f>Annahmen!$B$9</f>
        <v>0.05</v>
      </c>
      <c r="S312" s="69">
        <f t="shared" si="47"/>
        <v>0.67504120463305028</v>
      </c>
      <c r="T312" s="69">
        <f t="shared" si="48"/>
        <v>0</v>
      </c>
      <c r="U312" s="74">
        <f>$O312+Annahmen!$B$10+(T312*Annahmen!$B$11)</f>
        <v>118.8</v>
      </c>
      <c r="V312" s="74">
        <f t="shared" si="41"/>
        <v>80.194895110406378</v>
      </c>
      <c r="W312" s="74">
        <f t="shared" si="49"/>
        <v>488.99984863618158</v>
      </c>
    </row>
    <row r="313" spans="1:23" x14ac:dyDescent="0.35">
      <c r="A313" s="70">
        <v>45969</v>
      </c>
      <c r="B313" s="71" t="str">
        <f t="shared" si="42"/>
        <v>Sa</v>
      </c>
      <c r="C313" s="69">
        <f t="shared" si="43"/>
        <v>11</v>
      </c>
      <c r="D313" s="69">
        <v>312</v>
      </c>
      <c r="E313" s="69" t="str">
        <f>IF(OR(COUNTIF(Feiertage_Hessen_2025!$C$4:$C$13,A313)&gt;0,WEEKDAY(A313,2)=7),"FT",IF(WEEKDAY(A313,2)=6,"SA","WT"))</f>
        <v>SA</v>
      </c>
      <c r="F313" s="69">
        <f>INDEX('BDEW-H25 Tagessummen'!$C$4:$C$39, MATCH(C313&amp;"_"&amp;E313, 'BDEW-H25 Tagessummen'!$D$4:$D$39, 0))</f>
        <v>2944.4279999999999</v>
      </c>
      <c r="G313" s="69">
        <f t="shared" si="40"/>
        <v>1.0659412602880014</v>
      </c>
      <c r="H313" s="69">
        <f>Tabelle1[[#This Row],[Profilwert (kWh)]]*Tabelle1[[#This Row],[Dynamisierungsfaktor]]</f>
        <v>3138.5872931472791</v>
      </c>
      <c r="I313" s="69">
        <f>Annahmen!$B$5*(H313/SUM($H$2:$H$366))</f>
        <v>15.699724209351302</v>
      </c>
      <c r="J313" s="69">
        <f>Annahmen!$B$6</f>
        <v>130</v>
      </c>
      <c r="K313" s="69">
        <f t="shared" si="44"/>
        <v>2040.9641472156693</v>
      </c>
      <c r="L313" s="69">
        <f>I313*Annahmen!$B$7</f>
        <v>10.989806946545912</v>
      </c>
      <c r="M313" s="69">
        <f>I313*(1-Annahmen!$B$7)</f>
        <v>4.7099172628053916</v>
      </c>
      <c r="N313" s="69">
        <f>Annahmen!$B$8</f>
        <v>78</v>
      </c>
      <c r="O313" s="72">
        <f>INDEX(Quelle_SMARD_Preise_2025!$C$11:$C$375, MATCH($A313,Quelle_SMARD_Preise_2025!$A$11:$A$375, 0))</f>
        <v>106.46</v>
      </c>
      <c r="P313" s="69">
        <f t="shared" si="45"/>
        <v>857.20494183058111</v>
      </c>
      <c r="Q313" s="69">
        <f t="shared" si="46"/>
        <v>501.41779179826193</v>
      </c>
      <c r="R313" s="73">
        <f>Annahmen!$B$9</f>
        <v>0.05</v>
      </c>
      <c r="S313" s="69">
        <f t="shared" si="47"/>
        <v>0.78498621046756512</v>
      </c>
      <c r="T313" s="69">
        <f t="shared" si="48"/>
        <v>0</v>
      </c>
      <c r="U313" s="74">
        <f>$O313+Annahmen!$B$10+(T313*Annahmen!$B$11)</f>
        <v>114.46</v>
      </c>
      <c r="V313" s="74">
        <f t="shared" si="41"/>
        <v>89.849521650117495</v>
      </c>
      <c r="W313" s="74">
        <f t="shared" si="49"/>
        <v>592.49189193670861</v>
      </c>
    </row>
    <row r="314" spans="1:23" x14ac:dyDescent="0.35">
      <c r="A314" s="70">
        <v>45970</v>
      </c>
      <c r="B314" s="71" t="str">
        <f t="shared" si="42"/>
        <v>So</v>
      </c>
      <c r="C314" s="69">
        <f t="shared" si="43"/>
        <v>11</v>
      </c>
      <c r="D314" s="69">
        <v>313</v>
      </c>
      <c r="E314" s="69" t="str">
        <f>IF(OR(COUNTIF(Feiertage_Hessen_2025!$C$4:$C$13,A314)&gt;0,WEEKDAY(A314,2)=7),"FT",IF(WEEKDAY(A314,2)=6,"SA","WT"))</f>
        <v>FT</v>
      </c>
      <c r="F314" s="69">
        <f>INDEX('BDEW-H25 Tagessummen'!$C$4:$C$39, MATCH(C314&amp;"_"&amp;E314, 'BDEW-H25 Tagessummen'!$D$4:$D$39, 0))</f>
        <v>3042.9679999999998</v>
      </c>
      <c r="G314" s="69">
        <f t="shared" si="40"/>
        <v>1.0700646552880007</v>
      </c>
      <c r="H314" s="69">
        <f>Tabelle1[[#This Row],[Profilwert (kWh)]]*Tabelle1[[#This Row],[Dynamisierungsfaktor]]</f>
        <v>3256.1725039724165</v>
      </c>
      <c r="I314" s="69">
        <f>Annahmen!$B$5*(H314/SUM($H$2:$H$366))</f>
        <v>16.287904562048112</v>
      </c>
      <c r="J314" s="69">
        <f>Annahmen!$B$6</f>
        <v>130</v>
      </c>
      <c r="K314" s="69">
        <f t="shared" si="44"/>
        <v>2117.4275930662548</v>
      </c>
      <c r="L314" s="69">
        <f>I314*Annahmen!$B$7</f>
        <v>11.401533193433679</v>
      </c>
      <c r="M314" s="69">
        <f>I314*(1-Annahmen!$B$7)</f>
        <v>4.8863713686144346</v>
      </c>
      <c r="N314" s="69">
        <f>Annahmen!$B$8</f>
        <v>78</v>
      </c>
      <c r="O314" s="72">
        <f>INDEX(Quelle_SMARD_Preise_2025!$C$11:$C$375, MATCH($A314,Quelle_SMARD_Preise_2025!$A$11:$A$375, 0))</f>
        <v>99</v>
      </c>
      <c r="P314" s="69">
        <f t="shared" si="45"/>
        <v>889.3195890878269</v>
      </c>
      <c r="Q314" s="69">
        <f t="shared" si="46"/>
        <v>483.75076549282903</v>
      </c>
      <c r="R314" s="73">
        <f>Annahmen!$B$9</f>
        <v>0.05</v>
      </c>
      <c r="S314" s="69">
        <f t="shared" si="47"/>
        <v>0.81439522810240561</v>
      </c>
      <c r="T314" s="69">
        <f t="shared" si="48"/>
        <v>0</v>
      </c>
      <c r="U314" s="74">
        <f>$O314+Annahmen!$B$10+(T314*Annahmen!$B$11)</f>
        <v>107</v>
      </c>
      <c r="V314" s="74">
        <f t="shared" si="41"/>
        <v>87.140289406957407</v>
      </c>
      <c r="W314" s="74">
        <f t="shared" si="49"/>
        <v>657.21694907864139</v>
      </c>
    </row>
    <row r="315" spans="1:23" x14ac:dyDescent="0.35">
      <c r="A315" s="70">
        <v>45971</v>
      </c>
      <c r="B315" s="71" t="str">
        <f t="shared" si="42"/>
        <v>Mo</v>
      </c>
      <c r="C315" s="69">
        <f t="shared" si="43"/>
        <v>11</v>
      </c>
      <c r="D315" s="69">
        <v>314</v>
      </c>
      <c r="E315" s="69" t="str">
        <f>IF(OR(COUNTIF(Feiertage_Hessen_2025!$C$4:$C$13,A315)&gt;0,WEEKDAY(A315,2)=7),"FT",IF(WEEKDAY(A315,2)=6,"SA","WT"))</f>
        <v>WT</v>
      </c>
      <c r="F315" s="69">
        <f>INDEX('BDEW-H25 Tagessummen'!$C$4:$C$39, MATCH(C315&amp;"_"&amp;E315, 'BDEW-H25 Tagessummen'!$D$4:$D$39, 0))</f>
        <v>2541.8630000000003</v>
      </c>
      <c r="G315" s="69">
        <f t="shared" si="40"/>
        <v>1.0741877633280001</v>
      </c>
      <c r="H315" s="69">
        <f>Tabelle1[[#This Row],[Profilwert (kWh)]]*Tabelle1[[#This Row],[Dynamisierungsfaktor]]</f>
        <v>2730.4381306562009</v>
      </c>
      <c r="I315" s="69">
        <f>Annahmen!$B$5*(H315/SUM($H$2:$H$366))</f>
        <v>13.658095702991659</v>
      </c>
      <c r="J315" s="69">
        <f>Annahmen!$B$6</f>
        <v>130</v>
      </c>
      <c r="K315" s="69">
        <f t="shared" si="44"/>
        <v>1775.5524413889157</v>
      </c>
      <c r="L315" s="69">
        <f>I315*Annahmen!$B$7</f>
        <v>9.5606669920941609</v>
      </c>
      <c r="M315" s="69">
        <f>I315*(1-Annahmen!$B$7)</f>
        <v>4.097428710897498</v>
      </c>
      <c r="N315" s="69">
        <f>Annahmen!$B$8</f>
        <v>78</v>
      </c>
      <c r="O315" s="72">
        <f>INDEX(Quelle_SMARD_Preise_2025!$C$11:$C$375, MATCH($A315,Quelle_SMARD_Preise_2025!$A$11:$A$375, 0))</f>
        <v>109.89</v>
      </c>
      <c r="P315" s="69">
        <f t="shared" si="45"/>
        <v>745.73202538334453</v>
      </c>
      <c r="Q315" s="69">
        <f t="shared" si="46"/>
        <v>450.26644104052605</v>
      </c>
      <c r="R315" s="73">
        <f>Annahmen!$B$9</f>
        <v>0.05</v>
      </c>
      <c r="S315" s="69">
        <f t="shared" si="47"/>
        <v>0.68290478514958297</v>
      </c>
      <c r="T315" s="69">
        <f t="shared" si="48"/>
        <v>0</v>
      </c>
      <c r="U315" s="74">
        <f>$O315+Annahmen!$B$10+(T315*Annahmen!$B$11)</f>
        <v>117.89</v>
      </c>
      <c r="V315" s="74">
        <f t="shared" si="41"/>
        <v>80.507645121284341</v>
      </c>
      <c r="W315" s="74">
        <f t="shared" si="49"/>
        <v>499.04632984376076</v>
      </c>
    </row>
    <row r="316" spans="1:23" x14ac:dyDescent="0.35">
      <c r="A316" s="70">
        <v>45972</v>
      </c>
      <c r="B316" s="71" t="str">
        <f t="shared" si="42"/>
        <v>Di</v>
      </c>
      <c r="C316" s="69">
        <f t="shared" si="43"/>
        <v>11</v>
      </c>
      <c r="D316" s="69">
        <v>315</v>
      </c>
      <c r="E316" s="69" t="str">
        <f>IF(OR(COUNTIF(Feiertage_Hessen_2025!$C$4:$C$13,A316)&gt;0,WEEKDAY(A316,2)=7),"FT",IF(WEEKDAY(A316,2)=6,"SA","WT"))</f>
        <v>WT</v>
      </c>
      <c r="F316" s="69">
        <f>INDEX('BDEW-H25 Tagessummen'!$C$4:$C$39, MATCH(C316&amp;"_"&amp;E316, 'BDEW-H25 Tagessummen'!$D$4:$D$39, 0))</f>
        <v>2541.8630000000003</v>
      </c>
      <c r="G316" s="69">
        <f t="shared" si="40"/>
        <v>1.078309555000001</v>
      </c>
      <c r="H316" s="69">
        <f>Tabelle1[[#This Row],[Profilwert (kWh)]]*Tabelle1[[#This Row],[Dynamisierungsfaktor]]</f>
        <v>2740.915160400968</v>
      </c>
      <c r="I316" s="69">
        <f>Annahmen!$B$5*(H316/SUM($H$2:$H$366))</f>
        <v>13.710503510123596</v>
      </c>
      <c r="J316" s="69">
        <f>Annahmen!$B$6</f>
        <v>130</v>
      </c>
      <c r="K316" s="69">
        <f t="shared" si="44"/>
        <v>1782.3654563160674</v>
      </c>
      <c r="L316" s="69">
        <f>I316*Annahmen!$B$7</f>
        <v>9.597352457086517</v>
      </c>
      <c r="M316" s="69">
        <f>I316*(1-Annahmen!$B$7)</f>
        <v>4.113151053037079</v>
      </c>
      <c r="N316" s="69">
        <f>Annahmen!$B$8</f>
        <v>78</v>
      </c>
      <c r="O316" s="72">
        <f>INDEX(Quelle_SMARD_Preise_2025!$C$11:$C$375, MATCH($A316,Quelle_SMARD_Preise_2025!$A$11:$A$375, 0))</f>
        <v>96.89</v>
      </c>
      <c r="P316" s="69">
        <f t="shared" si="45"/>
        <v>748.5934916527483</v>
      </c>
      <c r="Q316" s="69">
        <f t="shared" si="46"/>
        <v>398.52320552876256</v>
      </c>
      <c r="R316" s="73">
        <f>Annahmen!$B$9</f>
        <v>0.05</v>
      </c>
      <c r="S316" s="69">
        <f t="shared" si="47"/>
        <v>0.68552517550617986</v>
      </c>
      <c r="T316" s="69">
        <f t="shared" si="48"/>
        <v>0</v>
      </c>
      <c r="U316" s="74">
        <f>$O316+Annahmen!$B$10+(T316*Annahmen!$B$11)</f>
        <v>104.89</v>
      </c>
      <c r="V316" s="74">
        <f t="shared" si="41"/>
        <v>71.904735658843208</v>
      </c>
      <c r="W316" s="74">
        <f t="shared" si="49"/>
        <v>563.34402347571336</v>
      </c>
    </row>
    <row r="317" spans="1:23" x14ac:dyDescent="0.35">
      <c r="A317" s="70">
        <v>45973</v>
      </c>
      <c r="B317" s="71" t="str">
        <f t="shared" si="42"/>
        <v>Mi</v>
      </c>
      <c r="C317" s="69">
        <f t="shared" si="43"/>
        <v>11</v>
      </c>
      <c r="D317" s="69">
        <v>316</v>
      </c>
      <c r="E317" s="69" t="str">
        <f>IF(OR(COUNTIF(Feiertage_Hessen_2025!$C$4:$C$13,A317)&gt;0,WEEKDAY(A317,2)=7),"FT",IF(WEEKDAY(A317,2)=6,"SA","WT"))</f>
        <v>WT</v>
      </c>
      <c r="F317" s="69">
        <f>INDEX('BDEW-H25 Tagessummen'!$C$4:$C$39, MATCH(C317&amp;"_"&amp;E317, 'BDEW-H25 Tagessummen'!$D$4:$D$39, 0))</f>
        <v>2541.8630000000003</v>
      </c>
      <c r="G317" s="69">
        <f t="shared" si="40"/>
        <v>1.0824289914879994</v>
      </c>
      <c r="H317" s="69">
        <f>Tabelle1[[#This Row],[Profilwert (kWh)]]*Tabelle1[[#This Row],[Dynamisierungsfaktor]]</f>
        <v>2751.3862035906609</v>
      </c>
      <c r="I317" s="69">
        <f>Annahmen!$B$5*(H317/SUM($H$2:$H$366))</f>
        <v>13.762881371533192</v>
      </c>
      <c r="J317" s="69">
        <f>Annahmen!$B$6</f>
        <v>130</v>
      </c>
      <c r="K317" s="69">
        <f t="shared" si="44"/>
        <v>1789.174578299315</v>
      </c>
      <c r="L317" s="69">
        <f>I317*Annahmen!$B$7</f>
        <v>9.6340169600732342</v>
      </c>
      <c r="M317" s="69">
        <f>I317*(1-Annahmen!$B$7)</f>
        <v>4.1288644114599578</v>
      </c>
      <c r="N317" s="69">
        <f>Annahmen!$B$8</f>
        <v>78</v>
      </c>
      <c r="O317" s="72">
        <f>INDEX(Quelle_SMARD_Preise_2025!$C$11:$C$375, MATCH($A317,Quelle_SMARD_Preise_2025!$A$11:$A$375, 0))</f>
        <v>80.319999999999993</v>
      </c>
      <c r="P317" s="69">
        <f t="shared" si="45"/>
        <v>751.45332288571228</v>
      </c>
      <c r="Q317" s="69">
        <f t="shared" si="46"/>
        <v>331.63038952846375</v>
      </c>
      <c r="R317" s="73">
        <f>Annahmen!$B$9</f>
        <v>0.05</v>
      </c>
      <c r="S317" s="69">
        <f t="shared" si="47"/>
        <v>0.68814406857665966</v>
      </c>
      <c r="T317" s="69">
        <f t="shared" si="48"/>
        <v>0</v>
      </c>
      <c r="U317" s="74">
        <f>$O317+Annahmen!$B$10+(T317*Annahmen!$B$11)</f>
        <v>88.32</v>
      </c>
      <c r="V317" s="74">
        <f t="shared" si="41"/>
        <v>60.776884136690576</v>
      </c>
      <c r="W317" s="74">
        <f t="shared" si="49"/>
        <v>645.31398174844833</v>
      </c>
    </row>
    <row r="318" spans="1:23" x14ac:dyDescent="0.35">
      <c r="A318" s="70">
        <v>45974</v>
      </c>
      <c r="B318" s="71" t="str">
        <f t="shared" si="42"/>
        <v>Do</v>
      </c>
      <c r="C318" s="69">
        <f t="shared" si="43"/>
        <v>11</v>
      </c>
      <c r="D318" s="69">
        <v>317</v>
      </c>
      <c r="E318" s="69" t="str">
        <f>IF(OR(COUNTIF(Feiertage_Hessen_2025!$C$4:$C$13,A318)&gt;0,WEEKDAY(A318,2)=7),"FT",IF(WEEKDAY(A318,2)=6,"SA","WT"))</f>
        <v>WT</v>
      </c>
      <c r="F318" s="69">
        <f>INDEX('BDEW-H25 Tagessummen'!$C$4:$C$39, MATCH(C318&amp;"_"&amp;E318, 'BDEW-H25 Tagessummen'!$D$4:$D$39, 0))</f>
        <v>2541.8630000000003</v>
      </c>
      <c r="G318" s="69">
        <f t="shared" si="40"/>
        <v>1.0865450245679997</v>
      </c>
      <c r="H318" s="69">
        <f>Tabelle1[[#This Row],[Profilwert (kWh)]]*Tabelle1[[#This Row],[Dynamisierungsfaktor]]</f>
        <v>2761.8485957834896</v>
      </c>
      <c r="I318" s="69">
        <f>Annahmen!$B$5*(H318/SUM($H$2:$H$366))</f>
        <v>13.815215959249173</v>
      </c>
      <c r="J318" s="69">
        <f>Annahmen!$B$6</f>
        <v>130</v>
      </c>
      <c r="K318" s="69">
        <f t="shared" si="44"/>
        <v>1795.9780747023924</v>
      </c>
      <c r="L318" s="69">
        <f>I318*Annahmen!$B$7</f>
        <v>9.6706511714744199</v>
      </c>
      <c r="M318" s="69">
        <f>I318*(1-Annahmen!$B$7)</f>
        <v>4.144564787774752</v>
      </c>
      <c r="N318" s="69">
        <f>Annahmen!$B$8</f>
        <v>78</v>
      </c>
      <c r="O318" s="72">
        <f>INDEX(Quelle_SMARD_Preise_2025!$C$11:$C$375, MATCH($A318,Quelle_SMARD_Preise_2025!$A$11:$A$375, 0))</f>
        <v>69.849999999999994</v>
      </c>
      <c r="P318" s="69">
        <f t="shared" si="45"/>
        <v>754.31079137500478</v>
      </c>
      <c r="Q318" s="69">
        <f t="shared" si="46"/>
        <v>289.49785042606641</v>
      </c>
      <c r="R318" s="73">
        <f>Annahmen!$B$9</f>
        <v>0.05</v>
      </c>
      <c r="S318" s="69">
        <f t="shared" si="47"/>
        <v>0.69076079796245871</v>
      </c>
      <c r="T318" s="69">
        <f t="shared" si="48"/>
        <v>0</v>
      </c>
      <c r="U318" s="74">
        <f>$O318+Annahmen!$B$10+(T318*Annahmen!$B$11)</f>
        <v>77.849999999999994</v>
      </c>
      <c r="V318" s="74">
        <f t="shared" si="41"/>
        <v>53.775728121377405</v>
      </c>
      <c r="W318" s="74">
        <f t="shared" si="49"/>
        <v>698.39370477994385</v>
      </c>
    </row>
    <row r="319" spans="1:23" x14ac:dyDescent="0.35">
      <c r="A319" s="70">
        <v>45975</v>
      </c>
      <c r="B319" s="71" t="str">
        <f t="shared" si="42"/>
        <v>Fr</v>
      </c>
      <c r="C319" s="69">
        <f t="shared" si="43"/>
        <v>11</v>
      </c>
      <c r="D319" s="69">
        <v>318</v>
      </c>
      <c r="E319" s="69" t="str">
        <f>IF(OR(COUNTIF(Feiertage_Hessen_2025!$C$4:$C$13,A319)&gt;0,WEEKDAY(A319,2)=7),"FT",IF(WEEKDAY(A319,2)=6,"SA","WT"))</f>
        <v>WT</v>
      </c>
      <c r="F319" s="69">
        <f>INDEX('BDEW-H25 Tagessummen'!$C$4:$C$39, MATCH(C319&amp;"_"&amp;E319, 'BDEW-H25 Tagessummen'!$D$4:$D$39, 0))</f>
        <v>2541.8630000000003</v>
      </c>
      <c r="G319" s="69">
        <f t="shared" si="40"/>
        <v>1.0906565966080013</v>
      </c>
      <c r="H319" s="69">
        <f>Tabelle1[[#This Row],[Profilwert (kWh)]]*Tabelle1[[#This Row],[Dynamisierungsfaktor]]</f>
        <v>2772.2996486238044</v>
      </c>
      <c r="I319" s="69">
        <f>Annahmen!$B$5*(H319/SUM($H$2:$H$366))</f>
        <v>13.867493825679253</v>
      </c>
      <c r="J319" s="69">
        <f>Annahmen!$B$6</f>
        <v>130</v>
      </c>
      <c r="K319" s="69">
        <f t="shared" si="44"/>
        <v>1802.7741973383029</v>
      </c>
      <c r="L319" s="69">
        <f>I319*Annahmen!$B$7</f>
        <v>9.707245677975477</v>
      </c>
      <c r="M319" s="69">
        <f>I319*(1-Annahmen!$B$7)</f>
        <v>4.1602481477037765</v>
      </c>
      <c r="N319" s="69">
        <f>Annahmen!$B$8</f>
        <v>78</v>
      </c>
      <c r="O319" s="72">
        <f>INDEX(Quelle_SMARD_Preise_2025!$C$11:$C$375, MATCH($A319,Quelle_SMARD_Preise_2025!$A$11:$A$375, 0))</f>
        <v>106.73</v>
      </c>
      <c r="P319" s="69">
        <f t="shared" si="45"/>
        <v>757.1651628820872</v>
      </c>
      <c r="Q319" s="69">
        <f t="shared" si="46"/>
        <v>444.02328480442407</v>
      </c>
      <c r="R319" s="73">
        <f>Annahmen!$B$9</f>
        <v>0.05</v>
      </c>
      <c r="S319" s="69">
        <f t="shared" si="47"/>
        <v>0.69337469128396267</v>
      </c>
      <c r="T319" s="69">
        <f t="shared" si="48"/>
        <v>0</v>
      </c>
      <c r="U319" s="74">
        <f>$O319+Annahmen!$B$10+(T319*Annahmen!$B$11)</f>
        <v>114.73</v>
      </c>
      <c r="V319" s="74">
        <f t="shared" si="41"/>
        <v>79.550878331009045</v>
      </c>
      <c r="W319" s="74">
        <f t="shared" si="49"/>
        <v>522.03487132078271</v>
      </c>
    </row>
    <row r="320" spans="1:23" x14ac:dyDescent="0.35">
      <c r="A320" s="70">
        <v>45976</v>
      </c>
      <c r="B320" s="71" t="str">
        <f t="shared" si="42"/>
        <v>Sa</v>
      </c>
      <c r="C320" s="69">
        <f t="shared" si="43"/>
        <v>11</v>
      </c>
      <c r="D320" s="69">
        <v>319</v>
      </c>
      <c r="E320" s="69" t="str">
        <f>IF(OR(COUNTIF(Feiertage_Hessen_2025!$C$4:$C$13,A320)&gt;0,WEEKDAY(A320,2)=7),"FT",IF(WEEKDAY(A320,2)=6,"SA","WT"))</f>
        <v>SA</v>
      </c>
      <c r="F320" s="69">
        <f>INDEX('BDEW-H25 Tagessummen'!$C$4:$C$39, MATCH(C320&amp;"_"&amp;E320, 'BDEW-H25 Tagessummen'!$D$4:$D$39, 0))</f>
        <v>2944.4279999999999</v>
      </c>
      <c r="G320" s="69">
        <f t="shared" si="40"/>
        <v>1.0947626405680002</v>
      </c>
      <c r="H320" s="69">
        <f>Tabelle1[[#This Row],[Profilwert (kWh)]]*Tabelle1[[#This Row],[Dynamisierungsfaktor]]</f>
        <v>3223.4497722423557</v>
      </c>
      <c r="I320" s="69">
        <f>Annahmen!$B$5*(H320/SUM($H$2:$H$366))</f>
        <v>16.124220134770837</v>
      </c>
      <c r="J320" s="69">
        <f>Annahmen!$B$6</f>
        <v>130</v>
      </c>
      <c r="K320" s="69">
        <f t="shared" si="44"/>
        <v>2096.148617520209</v>
      </c>
      <c r="L320" s="69">
        <f>I320*Annahmen!$B$7</f>
        <v>11.286954094339585</v>
      </c>
      <c r="M320" s="69">
        <f>I320*(1-Annahmen!$B$7)</f>
        <v>4.8372660404312517</v>
      </c>
      <c r="N320" s="69">
        <f>Annahmen!$B$8</f>
        <v>78</v>
      </c>
      <c r="O320" s="72">
        <f>INDEX(Quelle_SMARD_Preise_2025!$C$11:$C$375, MATCH($A320,Quelle_SMARD_Preise_2025!$A$11:$A$375, 0))</f>
        <v>90.7</v>
      </c>
      <c r="P320" s="69">
        <f t="shared" si="45"/>
        <v>880.3824193584876</v>
      </c>
      <c r="Q320" s="69">
        <f t="shared" si="46"/>
        <v>438.74002986711457</v>
      </c>
      <c r="R320" s="73">
        <f>Annahmen!$B$9</f>
        <v>0.05</v>
      </c>
      <c r="S320" s="69">
        <f t="shared" si="47"/>
        <v>0.80621100673854196</v>
      </c>
      <c r="T320" s="69">
        <f t="shared" si="48"/>
        <v>0</v>
      </c>
      <c r="U320" s="74">
        <f>$O320+Annahmen!$B$10+(T320*Annahmen!$B$11)</f>
        <v>98.7</v>
      </c>
      <c r="V320" s="74">
        <f t="shared" si="41"/>
        <v>79.573026365094094</v>
      </c>
      <c r="W320" s="74">
        <f t="shared" si="49"/>
        <v>697.45314192951275</v>
      </c>
    </row>
    <row r="321" spans="1:23" x14ac:dyDescent="0.35">
      <c r="A321" s="70">
        <v>45977</v>
      </c>
      <c r="B321" s="71" t="str">
        <f t="shared" si="42"/>
        <v>So</v>
      </c>
      <c r="C321" s="69">
        <f t="shared" si="43"/>
        <v>11</v>
      </c>
      <c r="D321" s="69">
        <v>320</v>
      </c>
      <c r="E321" s="69" t="str">
        <f>IF(OR(COUNTIF(Feiertage_Hessen_2025!$C$4:$C$13,A321)&gt;0,WEEKDAY(A321,2)=7),"FT",IF(WEEKDAY(A321,2)=6,"SA","WT"))</f>
        <v>FT</v>
      </c>
      <c r="F321" s="69">
        <f>INDEX('BDEW-H25 Tagessummen'!$C$4:$C$39, MATCH(C321&amp;"_"&amp;E321, 'BDEW-H25 Tagessummen'!$D$4:$D$39, 0))</f>
        <v>3042.9679999999998</v>
      </c>
      <c r="G321" s="69">
        <f t="shared" si="40"/>
        <v>1.0988620800000011</v>
      </c>
      <c r="H321" s="69">
        <f>Tabelle1[[#This Row],[Profilwert (kWh)]]*Tabelle1[[#This Row],[Dynamisierungsfaktor]]</f>
        <v>3343.8021458534431</v>
      </c>
      <c r="I321" s="69">
        <f>Annahmen!$B$5*(H321/SUM($H$2:$H$366))</f>
        <v>16.72624228587059</v>
      </c>
      <c r="J321" s="69">
        <f>Annahmen!$B$6</f>
        <v>130</v>
      </c>
      <c r="K321" s="69">
        <f t="shared" si="44"/>
        <v>2174.4114971631766</v>
      </c>
      <c r="L321" s="69">
        <f>I321*Annahmen!$B$7</f>
        <v>11.708369600109412</v>
      </c>
      <c r="M321" s="69">
        <f>I321*(1-Annahmen!$B$7)</f>
        <v>5.0178726857611782</v>
      </c>
      <c r="N321" s="69">
        <f>Annahmen!$B$8</f>
        <v>78</v>
      </c>
      <c r="O321" s="72">
        <f>INDEX(Quelle_SMARD_Preise_2025!$C$11:$C$375, MATCH($A321,Quelle_SMARD_Preise_2025!$A$11:$A$375, 0))</f>
        <v>101.44</v>
      </c>
      <c r="P321" s="69">
        <f t="shared" si="45"/>
        <v>913.2528288085341</v>
      </c>
      <c r="Q321" s="69">
        <f t="shared" si="46"/>
        <v>509.01300524361392</v>
      </c>
      <c r="R321" s="73">
        <f>Annahmen!$B$9</f>
        <v>0.05</v>
      </c>
      <c r="S321" s="69">
        <f t="shared" si="47"/>
        <v>0.83631211429352958</v>
      </c>
      <c r="T321" s="69">
        <f t="shared" si="48"/>
        <v>0</v>
      </c>
      <c r="U321" s="74">
        <f>$O321+Annahmen!$B$10+(T321*Annahmen!$B$11)</f>
        <v>109.44</v>
      </c>
      <c r="V321" s="74">
        <f t="shared" si="41"/>
        <v>91.525997788283874</v>
      </c>
      <c r="W321" s="74">
        <f t="shared" si="49"/>
        <v>660.61966532274471</v>
      </c>
    </row>
    <row r="322" spans="1:23" x14ac:dyDescent="0.35">
      <c r="A322" s="70">
        <v>45978</v>
      </c>
      <c r="B322" s="71" t="str">
        <f t="shared" si="42"/>
        <v>Mo</v>
      </c>
      <c r="C322" s="69">
        <f t="shared" si="43"/>
        <v>11</v>
      </c>
      <c r="D322" s="69">
        <v>321</v>
      </c>
      <c r="E322" s="69" t="str">
        <f>IF(OR(COUNTIF(Feiertage_Hessen_2025!$C$4:$C$13,A322)&gt;0,WEEKDAY(A322,2)=7),"FT",IF(WEEKDAY(A322,2)=6,"SA","WT"))</f>
        <v>WT</v>
      </c>
      <c r="F322" s="69">
        <f>INDEX('BDEW-H25 Tagessummen'!$C$4:$C$39, MATCH(C322&amp;"_"&amp;E322, 'BDEW-H25 Tagessummen'!$D$4:$D$39, 0))</f>
        <v>2541.8630000000003</v>
      </c>
      <c r="G322" s="69">
        <f t="shared" ref="G322:G366" si="50">-3.92*10^-10*D322^4+3.2*10^-7*D322^3-7.02*10^-5*D322^2+2.1*10^-3*D322+1.24</f>
        <v>1.1029538290480001</v>
      </c>
      <c r="H322" s="69">
        <f>Tabelle1[[#This Row],[Profilwert (kWh)]]*Tabelle1[[#This Row],[Dynamisierungsfaktor]]</f>
        <v>2803.5575287654369</v>
      </c>
      <c r="I322" s="69">
        <f>Annahmen!$B$5*(H322/SUM($H$2:$H$366))</f>
        <v>14.023850827016785</v>
      </c>
      <c r="J322" s="69">
        <f>Annahmen!$B$6</f>
        <v>130</v>
      </c>
      <c r="K322" s="69">
        <f t="shared" si="44"/>
        <v>1823.100607512182</v>
      </c>
      <c r="L322" s="69">
        <f>I322*Annahmen!$B$7</f>
        <v>9.8166955789117498</v>
      </c>
      <c r="M322" s="69">
        <f>I322*(1-Annahmen!$B$7)</f>
        <v>4.2071552481050363</v>
      </c>
      <c r="N322" s="69">
        <f>Annahmen!$B$8</f>
        <v>78</v>
      </c>
      <c r="O322" s="72">
        <f>INDEX(Quelle_SMARD_Preise_2025!$C$11:$C$375, MATCH($A322,Quelle_SMARD_Preise_2025!$A$11:$A$375, 0))</f>
        <v>94.71</v>
      </c>
      <c r="P322" s="69">
        <f t="shared" si="45"/>
        <v>765.70225515511652</v>
      </c>
      <c r="Q322" s="69">
        <f t="shared" si="46"/>
        <v>398.45967354802798</v>
      </c>
      <c r="R322" s="73">
        <f>Annahmen!$B$9</f>
        <v>0.05</v>
      </c>
      <c r="S322" s="69">
        <f t="shared" si="47"/>
        <v>0.7011925413508393</v>
      </c>
      <c r="T322" s="69">
        <f t="shared" si="48"/>
        <v>0</v>
      </c>
      <c r="U322" s="74">
        <f>$O322+Annahmen!$B$10+(T322*Annahmen!$B$11)</f>
        <v>102.71</v>
      </c>
      <c r="V322" s="74">
        <f t="shared" ref="V322:V366" si="51">ABS(S322)*U322</f>
        <v>72.019485922144696</v>
      </c>
      <c r="W322" s="74">
        <f t="shared" si="49"/>
        <v>586.91919288689292</v>
      </c>
    </row>
    <row r="323" spans="1:23" x14ac:dyDescent="0.35">
      <c r="A323" s="70">
        <v>45979</v>
      </c>
      <c r="B323" s="71" t="str">
        <f t="shared" ref="B323:B366" si="52">TEXT(A323,"TTT")</f>
        <v>Di</v>
      </c>
      <c r="C323" s="69">
        <f t="shared" ref="C323:C366" si="53">MONTH(A323)</f>
        <v>11</v>
      </c>
      <c r="D323" s="69">
        <v>322</v>
      </c>
      <c r="E323" s="69" t="str">
        <f>IF(OR(COUNTIF(Feiertage_Hessen_2025!$C$4:$C$13,A323)&gt;0,WEEKDAY(A323,2)=7),"FT",IF(WEEKDAY(A323,2)=6,"SA","WT"))</f>
        <v>WT</v>
      </c>
      <c r="F323" s="69">
        <f>INDEX('BDEW-H25 Tagessummen'!$C$4:$C$39, MATCH(C323&amp;"_"&amp;E323, 'BDEW-H25 Tagessummen'!$D$4:$D$39, 0))</f>
        <v>2541.8630000000003</v>
      </c>
      <c r="G323" s="69">
        <f t="shared" si="50"/>
        <v>1.1070367924480007</v>
      </c>
      <c r="H323" s="69">
        <f>Tabelle1[[#This Row],[Profilwert (kWh)]]*Tabelle1[[#This Row],[Dynamisierungsfaktor]]</f>
        <v>2813.9358623622525</v>
      </c>
      <c r="I323" s="69">
        <f>Annahmen!$B$5*(H323/SUM($H$2:$H$366))</f>
        <v>14.075764939961294</v>
      </c>
      <c r="J323" s="69">
        <f>Annahmen!$B$6</f>
        <v>130</v>
      </c>
      <c r="K323" s="69">
        <f t="shared" ref="K323:K366" si="54">I323*J323</f>
        <v>1829.8494421949683</v>
      </c>
      <c r="L323" s="69">
        <f>I323*Annahmen!$B$7</f>
        <v>9.853035457972906</v>
      </c>
      <c r="M323" s="69">
        <f>I323*(1-Annahmen!$B$7)</f>
        <v>4.2227294819883889</v>
      </c>
      <c r="N323" s="69">
        <f>Annahmen!$B$8</f>
        <v>78</v>
      </c>
      <c r="O323" s="72">
        <f>INDEX(Quelle_SMARD_Preise_2025!$C$11:$C$375, MATCH($A323,Quelle_SMARD_Preise_2025!$A$11:$A$375, 0))</f>
        <v>101.97</v>
      </c>
      <c r="P323" s="69">
        <f t="shared" ref="P323:P366" si="55">L323*N323</f>
        <v>768.5367657218867</v>
      </c>
      <c r="Q323" s="69">
        <f t="shared" ref="Q323:Q366" si="56">M323*O323</f>
        <v>430.59172527835602</v>
      </c>
      <c r="R323" s="73">
        <f>Annahmen!$B$9</f>
        <v>0.05</v>
      </c>
      <c r="S323" s="69">
        <f t="shared" ref="S323:S366" si="57">R323*I323</f>
        <v>0.70378824699806475</v>
      </c>
      <c r="T323" s="69">
        <f t="shared" ref="T323:T366" si="58">IF(OR(I323&gt;=PERCENTILE($I$2:$I$366,0.95),I323&lt;=PERCENTILE($I$2:$I$366,0.05)),1,0)</f>
        <v>0</v>
      </c>
      <c r="U323" s="74">
        <f>$O323+Annahmen!$B$10+(T323*Annahmen!$B$11)</f>
        <v>109.97</v>
      </c>
      <c r="V323" s="74">
        <f t="shared" si="51"/>
        <v>77.395593522377183</v>
      </c>
      <c r="W323" s="74">
        <f t="shared" ref="W323:W366" si="59">K323-P323-Q323-V323</f>
        <v>553.32535767234833</v>
      </c>
    </row>
    <row r="324" spans="1:23" x14ac:dyDescent="0.35">
      <c r="A324" s="70">
        <v>45980</v>
      </c>
      <c r="B324" s="71" t="str">
        <f t="shared" si="52"/>
        <v>Mi</v>
      </c>
      <c r="C324" s="69">
        <f t="shared" si="53"/>
        <v>11</v>
      </c>
      <c r="D324" s="69">
        <v>323</v>
      </c>
      <c r="E324" s="69" t="str">
        <f>IF(OR(COUNTIF(Feiertage_Hessen_2025!$C$4:$C$13,A324)&gt;0,WEEKDAY(A324,2)=7),"FT",IF(WEEKDAY(A324,2)=6,"SA","WT"))</f>
        <v>WT</v>
      </c>
      <c r="F324" s="69">
        <f>INDEX('BDEW-H25 Tagessummen'!$C$4:$C$39, MATCH(C324&amp;"_"&amp;E324, 'BDEW-H25 Tagessummen'!$D$4:$D$39, 0))</f>
        <v>2541.8630000000003</v>
      </c>
      <c r="G324" s="69">
        <f t="shared" si="50"/>
        <v>1.1111098655280001</v>
      </c>
      <c r="H324" s="69">
        <f>Tabelle1[[#This Row],[Profilwert (kWh)]]*Tabelle1[[#This Row],[Dynamisierungsfaktor]]</f>
        <v>2824.2890561205991</v>
      </c>
      <c r="I324" s="69">
        <f>Annahmen!$B$5*(H324/SUM($H$2:$H$366))</f>
        <v>14.127553299344163</v>
      </c>
      <c r="J324" s="69">
        <f>Annahmen!$B$6</f>
        <v>130</v>
      </c>
      <c r="K324" s="69">
        <f t="shared" si="54"/>
        <v>1836.5819289147412</v>
      </c>
      <c r="L324" s="69">
        <f>I324*Annahmen!$B$7</f>
        <v>9.8892873095409133</v>
      </c>
      <c r="M324" s="69">
        <f>I324*(1-Annahmen!$B$7)</f>
        <v>4.2382659898032493</v>
      </c>
      <c r="N324" s="69">
        <f>Annahmen!$B$8</f>
        <v>78</v>
      </c>
      <c r="O324" s="72">
        <f>INDEX(Quelle_SMARD_Preise_2025!$C$11:$C$375, MATCH($A324,Quelle_SMARD_Preise_2025!$A$11:$A$375, 0))</f>
        <v>102.53</v>
      </c>
      <c r="P324" s="69">
        <f t="shared" si="55"/>
        <v>771.3644101441912</v>
      </c>
      <c r="Q324" s="69">
        <f t="shared" si="56"/>
        <v>434.54941193452714</v>
      </c>
      <c r="R324" s="73">
        <f>Annahmen!$B$9</f>
        <v>0.05</v>
      </c>
      <c r="S324" s="69">
        <f t="shared" si="57"/>
        <v>0.70637766496720822</v>
      </c>
      <c r="T324" s="69">
        <f t="shared" si="58"/>
        <v>0</v>
      </c>
      <c r="U324" s="74">
        <f>$O324+Annahmen!$B$10+(T324*Annahmen!$B$11)</f>
        <v>110.53</v>
      </c>
      <c r="V324" s="74">
        <f t="shared" si="51"/>
        <v>78.075923308825523</v>
      </c>
      <c r="W324" s="74">
        <f t="shared" si="59"/>
        <v>552.59218352719734</v>
      </c>
    </row>
    <row r="325" spans="1:23" x14ac:dyDescent="0.35">
      <c r="A325" s="70">
        <v>45981</v>
      </c>
      <c r="B325" s="71" t="str">
        <f t="shared" si="52"/>
        <v>Do</v>
      </c>
      <c r="C325" s="69">
        <f t="shared" si="53"/>
        <v>11</v>
      </c>
      <c r="D325" s="69">
        <v>324</v>
      </c>
      <c r="E325" s="69" t="str">
        <f>IF(OR(COUNTIF(Feiertage_Hessen_2025!$C$4:$C$13,A325)&gt;0,WEEKDAY(A325,2)=7),"FT",IF(WEEKDAY(A325,2)=6,"SA","WT"))</f>
        <v>WT</v>
      </c>
      <c r="F325" s="69">
        <f>INDEX('BDEW-H25 Tagessummen'!$C$4:$C$39, MATCH(C325&amp;"_"&amp;E325, 'BDEW-H25 Tagessummen'!$D$4:$D$39, 0))</f>
        <v>2541.8630000000003</v>
      </c>
      <c r="G325" s="69">
        <f t="shared" si="50"/>
        <v>1.1151719342080011</v>
      </c>
      <c r="H325" s="69">
        <f>Tabelle1[[#This Row],[Profilwert (kWh)]]*Tabelle1[[#This Row],[Dynamisierungsfaktor]]</f>
        <v>2834.6142782017528</v>
      </c>
      <c r="I325" s="69">
        <f>Annahmen!$B$5*(H325/SUM($H$2:$H$366))</f>
        <v>14.179201739847427</v>
      </c>
      <c r="J325" s="69">
        <f>Annahmen!$B$6</f>
        <v>130</v>
      </c>
      <c r="K325" s="69">
        <f t="shared" si="54"/>
        <v>1843.2962261801654</v>
      </c>
      <c r="L325" s="69">
        <f>I325*Annahmen!$B$7</f>
        <v>9.9254412178931979</v>
      </c>
      <c r="M325" s="69">
        <f>I325*(1-Annahmen!$B$7)</f>
        <v>4.2537605219542289</v>
      </c>
      <c r="N325" s="69">
        <f>Annahmen!$B$8</f>
        <v>78</v>
      </c>
      <c r="O325" s="72">
        <f>INDEX(Quelle_SMARD_Preise_2025!$C$11:$C$375, MATCH($A325,Quelle_SMARD_Preise_2025!$A$11:$A$375, 0))</f>
        <v>125.99</v>
      </c>
      <c r="P325" s="69">
        <f t="shared" si="55"/>
        <v>774.18441499566939</v>
      </c>
      <c r="Q325" s="69">
        <f t="shared" si="56"/>
        <v>535.9312881610133</v>
      </c>
      <c r="R325" s="73">
        <f>Annahmen!$B$9</f>
        <v>0.05</v>
      </c>
      <c r="S325" s="69">
        <f t="shared" si="57"/>
        <v>0.70896008699237134</v>
      </c>
      <c r="T325" s="69">
        <f t="shared" si="58"/>
        <v>0</v>
      </c>
      <c r="U325" s="74">
        <f>$O325+Annahmen!$B$10+(T325*Annahmen!$B$11)</f>
        <v>133.99</v>
      </c>
      <c r="V325" s="74">
        <f t="shared" si="51"/>
        <v>94.993562056107848</v>
      </c>
      <c r="W325" s="74">
        <f t="shared" si="59"/>
        <v>438.18696096737483</v>
      </c>
    </row>
    <row r="326" spans="1:23" x14ac:dyDescent="0.35">
      <c r="A326" s="70">
        <v>45982</v>
      </c>
      <c r="B326" s="71" t="str">
        <f t="shared" si="52"/>
        <v>Fr</v>
      </c>
      <c r="C326" s="69">
        <f t="shared" si="53"/>
        <v>11</v>
      </c>
      <c r="D326" s="69">
        <v>325</v>
      </c>
      <c r="E326" s="69" t="str">
        <f>IF(OR(COUNTIF(Feiertage_Hessen_2025!$C$4:$C$13,A326)&gt;0,WEEKDAY(A326,2)=7),"FT",IF(WEEKDAY(A326,2)=6,"SA","WT"))</f>
        <v>WT</v>
      </c>
      <c r="F326" s="69">
        <f>INDEX('BDEW-H25 Tagessummen'!$C$4:$C$39, MATCH(C326&amp;"_"&amp;E326, 'BDEW-H25 Tagessummen'!$D$4:$D$39, 0))</f>
        <v>2541.8630000000003</v>
      </c>
      <c r="G326" s="69">
        <f t="shared" si="50"/>
        <v>1.1192218749999998</v>
      </c>
      <c r="H326" s="69">
        <f>Tabelle1[[#This Row],[Profilwert (kWh)]]*Tabelle1[[#This Row],[Dynamisierungsfaktor]]</f>
        <v>2844.9086728531247</v>
      </c>
      <c r="I326" s="69">
        <f>Annahmen!$B$5*(H326/SUM($H$2:$H$366))</f>
        <v>14.230695976532076</v>
      </c>
      <c r="J326" s="69">
        <f>Annahmen!$B$6</f>
        <v>130</v>
      </c>
      <c r="K326" s="69">
        <f t="shared" si="54"/>
        <v>1849.9904769491698</v>
      </c>
      <c r="L326" s="69">
        <f>I326*Annahmen!$B$7</f>
        <v>9.9614871835724514</v>
      </c>
      <c r="M326" s="69">
        <f>I326*(1-Annahmen!$B$7)</f>
        <v>4.2692087929596232</v>
      </c>
      <c r="N326" s="69">
        <f>Annahmen!$B$8</f>
        <v>78</v>
      </c>
      <c r="O326" s="72">
        <f>INDEX(Quelle_SMARD_Preise_2025!$C$11:$C$375, MATCH($A326,Quelle_SMARD_Preise_2025!$A$11:$A$375, 0))</f>
        <v>146.47999999999999</v>
      </c>
      <c r="P326" s="69">
        <f t="shared" si="55"/>
        <v>776.99600031865123</v>
      </c>
      <c r="Q326" s="69">
        <f t="shared" si="56"/>
        <v>625.35370399272551</v>
      </c>
      <c r="R326" s="73">
        <f>Annahmen!$B$9</f>
        <v>0.05</v>
      </c>
      <c r="S326" s="69">
        <f t="shared" si="57"/>
        <v>0.71153479882660386</v>
      </c>
      <c r="T326" s="69">
        <f t="shared" si="58"/>
        <v>0</v>
      </c>
      <c r="U326" s="74">
        <f>$O326+Annahmen!$B$10+(T326*Annahmen!$B$11)</f>
        <v>154.47999999999999</v>
      </c>
      <c r="V326" s="74">
        <f t="shared" si="51"/>
        <v>109.91789572273376</v>
      </c>
      <c r="W326" s="74">
        <f t="shared" si="59"/>
        <v>337.72287691505915</v>
      </c>
    </row>
    <row r="327" spans="1:23" x14ac:dyDescent="0.35">
      <c r="A327" s="70">
        <v>45983</v>
      </c>
      <c r="B327" s="71" t="str">
        <f t="shared" si="52"/>
        <v>Sa</v>
      </c>
      <c r="C327" s="69">
        <f t="shared" si="53"/>
        <v>11</v>
      </c>
      <c r="D327" s="69">
        <v>326</v>
      </c>
      <c r="E327" s="69" t="str">
        <f>IF(OR(COUNTIF(Feiertage_Hessen_2025!$C$4:$C$13,A327)&gt;0,WEEKDAY(A327,2)=7),"FT",IF(WEEKDAY(A327,2)=6,"SA","WT"))</f>
        <v>SA</v>
      </c>
      <c r="F327" s="69">
        <f>INDEX('BDEW-H25 Tagessummen'!$C$4:$C$39, MATCH(C327&amp;"_"&amp;E327, 'BDEW-H25 Tagessummen'!$D$4:$D$39, 0))</f>
        <v>2944.4279999999999</v>
      </c>
      <c r="G327" s="69">
        <f t="shared" si="50"/>
        <v>1.1232585550080005</v>
      </c>
      <c r="H327" s="69">
        <f>Tabelle1[[#This Row],[Profilwert (kWh)]]*Tabelle1[[#This Row],[Dynamisierungsfaktor]]</f>
        <v>3307.3539406050968</v>
      </c>
      <c r="I327" s="69">
        <f>Annahmen!$B$5*(H327/SUM($H$2:$H$366))</f>
        <v>16.543922434014231</v>
      </c>
      <c r="J327" s="69">
        <f>Annahmen!$B$6</f>
        <v>130</v>
      </c>
      <c r="K327" s="69">
        <f t="shared" si="54"/>
        <v>2150.7099164218498</v>
      </c>
      <c r="L327" s="69">
        <f>I327*Annahmen!$B$7</f>
        <v>11.580745703809962</v>
      </c>
      <c r="M327" s="69">
        <f>I327*(1-Annahmen!$B$7)</f>
        <v>4.9631767302042702</v>
      </c>
      <c r="N327" s="69">
        <f>Annahmen!$B$8</f>
        <v>78</v>
      </c>
      <c r="O327" s="72">
        <f>INDEX(Quelle_SMARD_Preise_2025!$C$11:$C$375, MATCH($A327,Quelle_SMARD_Preise_2025!$A$11:$A$375, 0))</f>
        <v>91.25</v>
      </c>
      <c r="P327" s="69">
        <f t="shared" si="55"/>
        <v>903.298164897177</v>
      </c>
      <c r="Q327" s="69">
        <f t="shared" si="56"/>
        <v>452.88987663113966</v>
      </c>
      <c r="R327" s="73">
        <f>Annahmen!$B$9</f>
        <v>0.05</v>
      </c>
      <c r="S327" s="69">
        <f t="shared" si="57"/>
        <v>0.82719612170071155</v>
      </c>
      <c r="T327" s="69">
        <f t="shared" si="58"/>
        <v>0</v>
      </c>
      <c r="U327" s="74">
        <f>$O327+Annahmen!$B$10+(T327*Annahmen!$B$11)</f>
        <v>99.25</v>
      </c>
      <c r="V327" s="74">
        <f t="shared" si="51"/>
        <v>82.099215078795623</v>
      </c>
      <c r="W327" s="74">
        <f t="shared" si="59"/>
        <v>712.42265981473747</v>
      </c>
    </row>
    <row r="328" spans="1:23" x14ac:dyDescent="0.35">
      <c r="A328" s="70">
        <v>45984</v>
      </c>
      <c r="B328" s="71" t="str">
        <f t="shared" si="52"/>
        <v>So</v>
      </c>
      <c r="C328" s="69">
        <f t="shared" si="53"/>
        <v>11</v>
      </c>
      <c r="D328" s="69">
        <v>327</v>
      </c>
      <c r="E328" s="69" t="str">
        <f>IF(OR(COUNTIF(Feiertage_Hessen_2025!$C$4:$C$13,A328)&gt;0,WEEKDAY(A328,2)=7),"FT",IF(WEEKDAY(A328,2)=6,"SA","WT"))</f>
        <v>FT</v>
      </c>
      <c r="F328" s="69">
        <f>INDEX('BDEW-H25 Tagessummen'!$C$4:$C$39, MATCH(C328&amp;"_"&amp;E328, 'BDEW-H25 Tagessummen'!$D$4:$D$39, 0))</f>
        <v>3042.9679999999998</v>
      </c>
      <c r="G328" s="69">
        <f t="shared" si="50"/>
        <v>1.1272808319279999</v>
      </c>
      <c r="H328" s="69">
        <f>Tabelle1[[#This Row],[Profilwert (kWh)]]*Tabelle1[[#This Row],[Dynamisierungsfaktor]]</f>
        <v>3430.2794985702817</v>
      </c>
      <c r="I328" s="69">
        <f>Annahmen!$B$5*(H328/SUM($H$2:$H$366))</f>
        <v>17.158816071845404</v>
      </c>
      <c r="J328" s="69">
        <f>Annahmen!$B$6</f>
        <v>130</v>
      </c>
      <c r="K328" s="69">
        <f t="shared" si="54"/>
        <v>2230.6460893399026</v>
      </c>
      <c r="L328" s="69">
        <f>I328*Annahmen!$B$7</f>
        <v>12.011171250291783</v>
      </c>
      <c r="M328" s="69">
        <f>I328*(1-Annahmen!$B$7)</f>
        <v>5.1476448215536221</v>
      </c>
      <c r="N328" s="69">
        <f>Annahmen!$B$8</f>
        <v>78</v>
      </c>
      <c r="O328" s="72">
        <f>INDEX(Quelle_SMARD_Preise_2025!$C$11:$C$375, MATCH($A328,Quelle_SMARD_Preise_2025!$A$11:$A$375, 0))</f>
        <v>71.430000000000007</v>
      </c>
      <c r="P328" s="69">
        <f t="shared" si="55"/>
        <v>936.87135752275901</v>
      </c>
      <c r="Q328" s="69">
        <f t="shared" si="56"/>
        <v>367.69626960357527</v>
      </c>
      <c r="R328" s="73">
        <f>Annahmen!$B$9</f>
        <v>0.05</v>
      </c>
      <c r="S328" s="69">
        <f t="shared" si="57"/>
        <v>0.85794080359227021</v>
      </c>
      <c r="T328" s="69">
        <f t="shared" si="58"/>
        <v>0</v>
      </c>
      <c r="U328" s="74">
        <f>$O328+Annahmen!$B$10+(T328*Annahmen!$B$11)</f>
        <v>79.430000000000007</v>
      </c>
      <c r="V328" s="74">
        <f t="shared" si="51"/>
        <v>68.146238029334029</v>
      </c>
      <c r="W328" s="74">
        <f t="shared" si="59"/>
        <v>857.93222418423443</v>
      </c>
    </row>
    <row r="329" spans="1:23" x14ac:dyDescent="0.35">
      <c r="A329" s="70">
        <v>45985</v>
      </c>
      <c r="B329" s="71" t="str">
        <f t="shared" si="52"/>
        <v>Mo</v>
      </c>
      <c r="C329" s="69">
        <f t="shared" si="53"/>
        <v>11</v>
      </c>
      <c r="D329" s="69">
        <v>328</v>
      </c>
      <c r="E329" s="69" t="str">
        <f>IF(OR(COUNTIF(Feiertage_Hessen_2025!$C$4:$C$13,A329)&gt;0,WEEKDAY(A329,2)=7),"FT",IF(WEEKDAY(A329,2)=6,"SA","WT"))</f>
        <v>WT</v>
      </c>
      <c r="F329" s="69">
        <f>INDEX('BDEW-H25 Tagessummen'!$C$4:$C$39, MATCH(C329&amp;"_"&amp;E329, 'BDEW-H25 Tagessummen'!$D$4:$D$39, 0))</f>
        <v>2541.8630000000003</v>
      </c>
      <c r="G329" s="69">
        <f t="shared" si="50"/>
        <v>1.131287554048001</v>
      </c>
      <c r="H329" s="69">
        <f>Tabelle1[[#This Row],[Profilwert (kWh)]]*Tabelle1[[#This Row],[Dynamisierungsfaktor]]</f>
        <v>2875.5779759951142</v>
      </c>
      <c r="I329" s="69">
        <f>Annahmen!$B$5*(H329/SUM($H$2:$H$366))</f>
        <v>14.384108819970754</v>
      </c>
      <c r="J329" s="69">
        <f>Annahmen!$B$6</f>
        <v>130</v>
      </c>
      <c r="K329" s="69">
        <f t="shared" si="54"/>
        <v>1869.9341465961979</v>
      </c>
      <c r="L329" s="69">
        <f>I329*Annahmen!$B$7</f>
        <v>10.068876173979527</v>
      </c>
      <c r="M329" s="69">
        <f>I329*(1-Annahmen!$B$7)</f>
        <v>4.3152326459912267</v>
      </c>
      <c r="N329" s="69">
        <f>Annahmen!$B$8</f>
        <v>78</v>
      </c>
      <c r="O329" s="72">
        <f>INDEX(Quelle_SMARD_Preise_2025!$C$11:$C$375, MATCH($A329,Quelle_SMARD_Preise_2025!$A$11:$A$375, 0))</f>
        <v>132.36000000000001</v>
      </c>
      <c r="P329" s="69">
        <f t="shared" si="55"/>
        <v>785.37234157040314</v>
      </c>
      <c r="Q329" s="69">
        <f t="shared" si="56"/>
        <v>571.16419302339887</v>
      </c>
      <c r="R329" s="73">
        <f>Annahmen!$B$9</f>
        <v>0.05</v>
      </c>
      <c r="S329" s="69">
        <f t="shared" si="57"/>
        <v>0.71920544099853778</v>
      </c>
      <c r="T329" s="69">
        <f t="shared" si="58"/>
        <v>0</v>
      </c>
      <c r="U329" s="74">
        <f>$O329+Annahmen!$B$10+(T329*Annahmen!$B$11)</f>
        <v>140.36000000000001</v>
      </c>
      <c r="V329" s="74">
        <f t="shared" si="51"/>
        <v>100.94767569855478</v>
      </c>
      <c r="W329" s="74">
        <f t="shared" si="59"/>
        <v>412.44993630384124</v>
      </c>
    </row>
    <row r="330" spans="1:23" x14ac:dyDescent="0.35">
      <c r="A330" s="70">
        <v>45986</v>
      </c>
      <c r="B330" s="71" t="str">
        <f t="shared" si="52"/>
        <v>Di</v>
      </c>
      <c r="C330" s="69">
        <f t="shared" si="53"/>
        <v>11</v>
      </c>
      <c r="D330" s="69">
        <v>329</v>
      </c>
      <c r="E330" s="69" t="str">
        <f>IF(OR(COUNTIF(Feiertage_Hessen_2025!$C$4:$C$13,A330)&gt;0,WEEKDAY(A330,2)=7),"FT",IF(WEEKDAY(A330,2)=6,"SA","WT"))</f>
        <v>WT</v>
      </c>
      <c r="F330" s="69">
        <f>INDEX('BDEW-H25 Tagessummen'!$C$4:$C$39, MATCH(C330&amp;"_"&amp;E330, 'BDEW-H25 Tagessummen'!$D$4:$D$39, 0))</f>
        <v>2541.8630000000003</v>
      </c>
      <c r="G330" s="69">
        <f t="shared" si="50"/>
        <v>1.135277560248001</v>
      </c>
      <c r="H330" s="69">
        <f>Tabelle1[[#This Row],[Profilwert (kWh)]]*Tabelle1[[#This Row],[Dynamisierungsfaktor]]</f>
        <v>2885.720025124665</v>
      </c>
      <c r="I330" s="69">
        <f>Annahmen!$B$5*(H330/SUM($H$2:$H$366))</f>
        <v>14.434840999572479</v>
      </c>
      <c r="J330" s="69">
        <f>Annahmen!$B$6</f>
        <v>130</v>
      </c>
      <c r="K330" s="69">
        <f t="shared" si="54"/>
        <v>1876.5293299444222</v>
      </c>
      <c r="L330" s="69">
        <f>I330*Annahmen!$B$7</f>
        <v>10.104388699700735</v>
      </c>
      <c r="M330" s="69">
        <f>I330*(1-Annahmen!$B$7)</f>
        <v>4.3304522998717445</v>
      </c>
      <c r="N330" s="69">
        <f>Annahmen!$B$8</f>
        <v>78</v>
      </c>
      <c r="O330" s="72">
        <f>INDEX(Quelle_SMARD_Preise_2025!$C$11:$C$375, MATCH($A330,Quelle_SMARD_Preise_2025!$A$11:$A$375, 0))</f>
        <v>220.52</v>
      </c>
      <c r="P330" s="69">
        <f t="shared" si="55"/>
        <v>788.14231857665732</v>
      </c>
      <c r="Q330" s="69">
        <f t="shared" si="56"/>
        <v>954.95134116771715</v>
      </c>
      <c r="R330" s="73">
        <f>Annahmen!$B$9</f>
        <v>0.05</v>
      </c>
      <c r="S330" s="69">
        <f t="shared" si="57"/>
        <v>0.72174204997862401</v>
      </c>
      <c r="T330" s="69">
        <f t="shared" si="58"/>
        <v>0</v>
      </c>
      <c r="U330" s="74">
        <f>$O330+Annahmen!$B$10+(T330*Annahmen!$B$11)</f>
        <v>228.52</v>
      </c>
      <c r="V330" s="74">
        <f t="shared" si="51"/>
        <v>164.93249326111516</v>
      </c>
      <c r="W330" s="74">
        <f t="shared" si="59"/>
        <v>-31.496823061067403</v>
      </c>
    </row>
    <row r="331" spans="1:23" x14ac:dyDescent="0.35">
      <c r="A331" s="70">
        <v>45987</v>
      </c>
      <c r="B331" s="71" t="str">
        <f t="shared" si="52"/>
        <v>Mi</v>
      </c>
      <c r="C331" s="69">
        <f t="shared" si="53"/>
        <v>11</v>
      </c>
      <c r="D331" s="69">
        <v>330</v>
      </c>
      <c r="E331" s="69" t="str">
        <f>IF(OR(COUNTIF(Feiertage_Hessen_2025!$C$4:$C$13,A331)&gt;0,WEEKDAY(A331,2)=7),"FT",IF(WEEKDAY(A331,2)=6,"SA","WT"))</f>
        <v>WT</v>
      </c>
      <c r="F331" s="69">
        <f>INDEX('BDEW-H25 Tagessummen'!$C$4:$C$39, MATCH(C331&amp;"_"&amp;E331, 'BDEW-H25 Tagessummen'!$D$4:$D$39, 0))</f>
        <v>2541.8630000000003</v>
      </c>
      <c r="G331" s="69">
        <f t="shared" si="50"/>
        <v>1.1392496800000009</v>
      </c>
      <c r="H331" s="69">
        <f>Tabelle1[[#This Row],[Profilwert (kWh)]]*Tabelle1[[#This Row],[Dynamisierungsfaktor]]</f>
        <v>2895.8166093538425</v>
      </c>
      <c r="I331" s="69">
        <f>Annahmen!$B$5*(H331/SUM($H$2:$H$366))</f>
        <v>14.485345756346543</v>
      </c>
      <c r="J331" s="69">
        <f>Annahmen!$B$6</f>
        <v>130</v>
      </c>
      <c r="K331" s="69">
        <f t="shared" si="54"/>
        <v>1883.0949483250506</v>
      </c>
      <c r="L331" s="69">
        <f>I331*Annahmen!$B$7</f>
        <v>10.13974202944258</v>
      </c>
      <c r="M331" s="69">
        <f>I331*(1-Annahmen!$B$7)</f>
        <v>4.3456037269039633</v>
      </c>
      <c r="N331" s="69">
        <f>Annahmen!$B$8</f>
        <v>78</v>
      </c>
      <c r="O331" s="72">
        <f>INDEX(Quelle_SMARD_Preise_2025!$C$11:$C$375, MATCH($A331,Quelle_SMARD_Preise_2025!$A$11:$A$375, 0))</f>
        <v>161.52000000000001</v>
      </c>
      <c r="P331" s="69">
        <f t="shared" si="55"/>
        <v>790.89987829652125</v>
      </c>
      <c r="Q331" s="69">
        <f t="shared" si="56"/>
        <v>701.90191396952821</v>
      </c>
      <c r="R331" s="73">
        <f>Annahmen!$B$9</f>
        <v>0.05</v>
      </c>
      <c r="S331" s="69">
        <f t="shared" si="57"/>
        <v>0.72426728781732719</v>
      </c>
      <c r="T331" s="69">
        <f t="shared" si="58"/>
        <v>0</v>
      </c>
      <c r="U331" s="74">
        <f>$O331+Annahmen!$B$10+(T331*Annahmen!$B$11)</f>
        <v>169.52</v>
      </c>
      <c r="V331" s="74">
        <f t="shared" si="51"/>
        <v>122.77779063079332</v>
      </c>
      <c r="W331" s="74">
        <f t="shared" si="59"/>
        <v>267.5153654282077</v>
      </c>
    </row>
    <row r="332" spans="1:23" x14ac:dyDescent="0.35">
      <c r="A332" s="70">
        <v>45988</v>
      </c>
      <c r="B332" s="71" t="str">
        <f t="shared" si="52"/>
        <v>Do</v>
      </c>
      <c r="C332" s="69">
        <f t="shared" si="53"/>
        <v>11</v>
      </c>
      <c r="D332" s="69">
        <v>331</v>
      </c>
      <c r="E332" s="69" t="str">
        <f>IF(OR(COUNTIF(Feiertage_Hessen_2025!$C$4:$C$13,A332)&gt;0,WEEKDAY(A332,2)=7),"FT",IF(WEEKDAY(A332,2)=6,"SA","WT"))</f>
        <v>WT</v>
      </c>
      <c r="F332" s="69">
        <f>INDEX('BDEW-H25 Tagessummen'!$C$4:$C$39, MATCH(C332&amp;"_"&amp;E332, 'BDEW-H25 Tagessummen'!$D$4:$D$39, 0))</f>
        <v>2541.8630000000003</v>
      </c>
      <c r="G332" s="69">
        <f t="shared" si="50"/>
        <v>1.1432027333679995</v>
      </c>
      <c r="H332" s="69">
        <f>Tabelle1[[#This Row],[Profilwert (kWh)]]*Tabelle1[[#This Row],[Dynamisierungsfaktor]]</f>
        <v>2905.8647294469838</v>
      </c>
      <c r="I332" s="69">
        <f>Annahmen!$B$5*(H332/SUM($H$2:$H$366))</f>
        <v>14.535608087628262</v>
      </c>
      <c r="J332" s="69">
        <f>Annahmen!$B$6</f>
        <v>130</v>
      </c>
      <c r="K332" s="69">
        <f t="shared" si="54"/>
        <v>1889.629051391674</v>
      </c>
      <c r="L332" s="69">
        <f>I332*Annahmen!$B$7</f>
        <v>10.174925661339783</v>
      </c>
      <c r="M332" s="69">
        <f>I332*(1-Annahmen!$B$7)</f>
        <v>4.3606824262884789</v>
      </c>
      <c r="N332" s="69">
        <f>Annahmen!$B$8</f>
        <v>78</v>
      </c>
      <c r="O332" s="72">
        <f>INDEX(Quelle_SMARD_Preise_2025!$C$11:$C$375, MATCH($A332,Quelle_SMARD_Preise_2025!$A$11:$A$375, 0))</f>
        <v>91.18</v>
      </c>
      <c r="P332" s="69">
        <f t="shared" si="55"/>
        <v>793.64420158450309</v>
      </c>
      <c r="Q332" s="69">
        <f t="shared" si="56"/>
        <v>397.60702362898354</v>
      </c>
      <c r="R332" s="73">
        <f>Annahmen!$B$9</f>
        <v>0.05</v>
      </c>
      <c r="S332" s="69">
        <f t="shared" si="57"/>
        <v>0.72678040438141311</v>
      </c>
      <c r="T332" s="69">
        <f t="shared" si="58"/>
        <v>0</v>
      </c>
      <c r="U332" s="74">
        <f>$O332+Annahmen!$B$10+(T332*Annahmen!$B$11)</f>
        <v>99.18</v>
      </c>
      <c r="V332" s="74">
        <f t="shared" si="51"/>
        <v>72.082080506548564</v>
      </c>
      <c r="W332" s="74">
        <f t="shared" si="59"/>
        <v>626.29574567163888</v>
      </c>
    </row>
    <row r="333" spans="1:23" x14ac:dyDescent="0.35">
      <c r="A333" s="70">
        <v>45989</v>
      </c>
      <c r="B333" s="71" t="str">
        <f t="shared" si="52"/>
        <v>Fr</v>
      </c>
      <c r="C333" s="69">
        <f t="shared" si="53"/>
        <v>11</v>
      </c>
      <c r="D333" s="69">
        <v>332</v>
      </c>
      <c r="E333" s="69" t="str">
        <f>IF(OR(COUNTIF(Feiertage_Hessen_2025!$C$4:$C$13,A333)&gt;0,WEEKDAY(A333,2)=7),"FT",IF(WEEKDAY(A333,2)=6,"SA","WT"))</f>
        <v>WT</v>
      </c>
      <c r="F333" s="69">
        <f>INDEX('BDEW-H25 Tagessummen'!$C$4:$C$39, MATCH(C333&amp;"_"&amp;E333, 'BDEW-H25 Tagessummen'!$D$4:$D$39, 0))</f>
        <v>2541.8630000000003</v>
      </c>
      <c r="G333" s="69">
        <f t="shared" si="50"/>
        <v>1.1471355310080003</v>
      </c>
      <c r="H333" s="69">
        <f>Tabelle1[[#This Row],[Profilwert (kWh)]]*Tabelle1[[#This Row],[Dynamisierungsfaktor]]</f>
        <v>2915.861362254589</v>
      </c>
      <c r="I333" s="69">
        <f>Annahmen!$B$5*(H333/SUM($H$2:$H$366))</f>
        <v>14.585612871132044</v>
      </c>
      <c r="J333" s="69">
        <f>Annahmen!$B$6</f>
        <v>130</v>
      </c>
      <c r="K333" s="69">
        <f t="shared" si="54"/>
        <v>1896.1296732471658</v>
      </c>
      <c r="L333" s="69">
        <f>I333*Annahmen!$B$7</f>
        <v>10.209929009792431</v>
      </c>
      <c r="M333" s="69">
        <f>I333*(1-Annahmen!$B$7)</f>
        <v>4.3756838613396143</v>
      </c>
      <c r="N333" s="69">
        <f>Annahmen!$B$8</f>
        <v>78</v>
      </c>
      <c r="O333" s="72">
        <f>INDEX(Quelle_SMARD_Preise_2025!$C$11:$C$375, MATCH($A333,Quelle_SMARD_Preise_2025!$A$11:$A$375, 0))</f>
        <v>85.05</v>
      </c>
      <c r="P333" s="69">
        <f t="shared" si="55"/>
        <v>796.37446276380956</v>
      </c>
      <c r="Q333" s="69">
        <f t="shared" si="56"/>
        <v>372.15191240693417</v>
      </c>
      <c r="R333" s="73">
        <f>Annahmen!$B$9</f>
        <v>0.05</v>
      </c>
      <c r="S333" s="69">
        <f t="shared" si="57"/>
        <v>0.72928064355660227</v>
      </c>
      <c r="T333" s="69">
        <f t="shared" si="58"/>
        <v>0</v>
      </c>
      <c r="U333" s="74">
        <f>$O333+Annahmen!$B$10+(T333*Annahmen!$B$11)</f>
        <v>93.05</v>
      </c>
      <c r="V333" s="74">
        <f t="shared" si="51"/>
        <v>67.859563882941842</v>
      </c>
      <c r="W333" s="74">
        <f t="shared" si="59"/>
        <v>659.74373419348024</v>
      </c>
    </row>
    <row r="334" spans="1:23" x14ac:dyDescent="0.35">
      <c r="A334" s="70">
        <v>45990</v>
      </c>
      <c r="B334" s="71" t="str">
        <f t="shared" si="52"/>
        <v>Sa</v>
      </c>
      <c r="C334" s="69">
        <f t="shared" si="53"/>
        <v>11</v>
      </c>
      <c r="D334" s="69">
        <v>333</v>
      </c>
      <c r="E334" s="69" t="str">
        <f>IF(OR(COUNTIF(Feiertage_Hessen_2025!$C$4:$C$13,A334)&gt;0,WEEKDAY(A334,2)=7),"FT",IF(WEEKDAY(A334,2)=6,"SA","WT"))</f>
        <v>SA</v>
      </c>
      <c r="F334" s="69">
        <f>INDEX('BDEW-H25 Tagessummen'!$C$4:$C$39, MATCH(C334&amp;"_"&amp;E334, 'BDEW-H25 Tagessummen'!$D$4:$D$39, 0))</f>
        <v>2944.4279999999999</v>
      </c>
      <c r="G334" s="69">
        <f t="shared" si="50"/>
        <v>1.1510468741680011</v>
      </c>
      <c r="H334" s="69">
        <f>Tabelle1[[#This Row],[Profilwert (kWh)]]*Tabelle1[[#This Row],[Dynamisierungsfaktor]]</f>
        <v>3389.1746456127389</v>
      </c>
      <c r="I334" s="69">
        <f>Annahmen!$B$5*(H334/SUM($H$2:$H$366))</f>
        <v>16.953202910628455</v>
      </c>
      <c r="J334" s="69">
        <f>Annahmen!$B$6</f>
        <v>130</v>
      </c>
      <c r="K334" s="69">
        <f t="shared" si="54"/>
        <v>2203.9163783816994</v>
      </c>
      <c r="L334" s="69">
        <f>I334*Annahmen!$B$7</f>
        <v>11.867242037439919</v>
      </c>
      <c r="M334" s="69">
        <f>I334*(1-Annahmen!$B$7)</f>
        <v>5.0859608731885375</v>
      </c>
      <c r="N334" s="69">
        <f>Annahmen!$B$8</f>
        <v>78</v>
      </c>
      <c r="O334" s="72">
        <f>INDEX(Quelle_SMARD_Preise_2025!$C$11:$C$375, MATCH($A334,Quelle_SMARD_Preise_2025!$A$11:$A$375, 0))</f>
        <v>90.19</v>
      </c>
      <c r="P334" s="69">
        <f t="shared" si="55"/>
        <v>925.64487892031366</v>
      </c>
      <c r="Q334" s="69">
        <f t="shared" si="56"/>
        <v>458.70281115287418</v>
      </c>
      <c r="R334" s="73">
        <f>Annahmen!$B$9</f>
        <v>0.05</v>
      </c>
      <c r="S334" s="69">
        <f t="shared" si="57"/>
        <v>0.84766014553142277</v>
      </c>
      <c r="T334" s="69">
        <f t="shared" si="58"/>
        <v>0</v>
      </c>
      <c r="U334" s="74">
        <f>$O334+Annahmen!$B$10+(T334*Annahmen!$B$11)</f>
        <v>98.19</v>
      </c>
      <c r="V334" s="74">
        <f t="shared" si="51"/>
        <v>83.231749689730407</v>
      </c>
      <c r="W334" s="74">
        <f t="shared" si="59"/>
        <v>736.33693861878123</v>
      </c>
    </row>
    <row r="335" spans="1:23" x14ac:dyDescent="0.35">
      <c r="A335" s="70">
        <v>45991</v>
      </c>
      <c r="B335" s="71" t="str">
        <f t="shared" si="52"/>
        <v>So</v>
      </c>
      <c r="C335" s="69">
        <f t="shared" si="53"/>
        <v>11</v>
      </c>
      <c r="D335" s="69">
        <v>334</v>
      </c>
      <c r="E335" s="69" t="str">
        <f>IF(OR(COUNTIF(Feiertage_Hessen_2025!$C$4:$C$13,A335)&gt;0,WEEKDAY(A335,2)=7),"FT",IF(WEEKDAY(A335,2)=6,"SA","WT"))</f>
        <v>FT</v>
      </c>
      <c r="F335" s="69">
        <f>INDEX('BDEW-H25 Tagessummen'!$C$4:$C$39, MATCH(C335&amp;"_"&amp;E335, 'BDEW-H25 Tagessummen'!$D$4:$D$39, 0))</f>
        <v>3042.9679999999998</v>
      </c>
      <c r="G335" s="69">
        <f t="shared" si="50"/>
        <v>1.1549355546880009</v>
      </c>
      <c r="H335" s="69">
        <f>Tabelle1[[#This Row],[Profilwert (kWh)]]*Tabelle1[[#This Row],[Dynamisierungsfaktor]]</f>
        <v>3514.4319349778366</v>
      </c>
      <c r="I335" s="69">
        <f>Annahmen!$B$5*(H335/SUM($H$2:$H$366))</f>
        <v>17.57976024823591</v>
      </c>
      <c r="J335" s="69">
        <f>Annahmen!$B$6</f>
        <v>130</v>
      </c>
      <c r="K335" s="69">
        <f t="shared" si="54"/>
        <v>2285.3688322706685</v>
      </c>
      <c r="L335" s="69">
        <f>I335*Annahmen!$B$7</f>
        <v>12.305832173765136</v>
      </c>
      <c r="M335" s="69">
        <f>I335*(1-Annahmen!$B$7)</f>
        <v>5.2739280744707742</v>
      </c>
      <c r="N335" s="69">
        <f>Annahmen!$B$8</f>
        <v>78</v>
      </c>
      <c r="O335" s="72">
        <f>INDEX(Quelle_SMARD_Preise_2025!$C$11:$C$375, MATCH($A335,Quelle_SMARD_Preise_2025!$A$11:$A$375, 0))</f>
        <v>84.15</v>
      </c>
      <c r="P335" s="69">
        <f t="shared" si="55"/>
        <v>959.85490955368061</v>
      </c>
      <c r="Q335" s="69">
        <f t="shared" si="56"/>
        <v>443.80104746671566</v>
      </c>
      <c r="R335" s="73">
        <f>Annahmen!$B$9</f>
        <v>0.05</v>
      </c>
      <c r="S335" s="69">
        <f t="shared" si="57"/>
        <v>0.87898801241179558</v>
      </c>
      <c r="T335" s="69">
        <f t="shared" si="58"/>
        <v>0</v>
      </c>
      <c r="U335" s="74">
        <f>$O335+Annahmen!$B$10+(T335*Annahmen!$B$11)</f>
        <v>92.15</v>
      </c>
      <c r="V335" s="74">
        <f t="shared" si="51"/>
        <v>80.998745343746961</v>
      </c>
      <c r="W335" s="74">
        <f t="shared" si="59"/>
        <v>800.71412990652539</v>
      </c>
    </row>
    <row r="336" spans="1:23" x14ac:dyDescent="0.35">
      <c r="A336" s="70">
        <v>45992</v>
      </c>
      <c r="B336" s="71" t="str">
        <f t="shared" si="52"/>
        <v>Mo</v>
      </c>
      <c r="C336" s="69">
        <f t="shared" si="53"/>
        <v>12</v>
      </c>
      <c r="D336" s="69">
        <v>335</v>
      </c>
      <c r="E336" s="69" t="str">
        <f>IF(OR(COUNTIF(Feiertage_Hessen_2025!$C$4:$C$13,A336)&gt;0,WEEKDAY(A336,2)=7),"FT",IF(WEEKDAY(A336,2)=6,"SA","WT"))</f>
        <v>WT</v>
      </c>
      <c r="F336" s="69">
        <f>INDEX('BDEW-H25 Tagessummen'!$C$4:$C$39, MATCH(C336&amp;"_"&amp;E336, 'BDEW-H25 Tagessummen'!$D$4:$D$39, 0))</f>
        <v>2536.5189999999993</v>
      </c>
      <c r="G336" s="69">
        <f t="shared" si="50"/>
        <v>1.1588003550000012</v>
      </c>
      <c r="H336" s="69">
        <f>Tabelle1[[#This Row],[Profilwert (kWh)]]*Tabelle1[[#This Row],[Dynamisierungsfaktor]]</f>
        <v>2939.3191176642472</v>
      </c>
      <c r="I336" s="69">
        <f>Annahmen!$B$5*(H336/SUM($H$2:$H$366))</f>
        <v>14.70295237967659</v>
      </c>
      <c r="J336" s="69">
        <f>Annahmen!$B$6</f>
        <v>130</v>
      </c>
      <c r="K336" s="69">
        <f t="shared" si="54"/>
        <v>1911.3838093579568</v>
      </c>
      <c r="L336" s="69">
        <f>I336*Annahmen!$B$7</f>
        <v>10.292066665773612</v>
      </c>
      <c r="M336" s="69">
        <f>I336*(1-Annahmen!$B$7)</f>
        <v>4.410885713902978</v>
      </c>
      <c r="N336" s="69">
        <f>Annahmen!$B$8</f>
        <v>78</v>
      </c>
      <c r="O336" s="72">
        <f>INDEX(Quelle_SMARD_Preise_2025!$C$11:$C$375, MATCH($A336,Quelle_SMARD_Preise_2025!$A$11:$A$375, 0))</f>
        <v>93.43</v>
      </c>
      <c r="P336" s="69">
        <f t="shared" si="55"/>
        <v>802.78119993034181</v>
      </c>
      <c r="Q336" s="69">
        <f t="shared" si="56"/>
        <v>412.10905224995525</v>
      </c>
      <c r="R336" s="73">
        <f>Annahmen!$B$9</f>
        <v>0.05</v>
      </c>
      <c r="S336" s="69">
        <f t="shared" si="57"/>
        <v>0.73514761898382952</v>
      </c>
      <c r="T336" s="69">
        <f t="shared" si="58"/>
        <v>0</v>
      </c>
      <c r="U336" s="74">
        <f>$O336+Annahmen!$B$10+(T336*Annahmen!$B$11)</f>
        <v>101.43</v>
      </c>
      <c r="V336" s="74">
        <f t="shared" si="51"/>
        <v>74.566022993529828</v>
      </c>
      <c r="W336" s="74">
        <f t="shared" si="59"/>
        <v>621.92753418412974</v>
      </c>
    </row>
    <row r="337" spans="1:23" x14ac:dyDescent="0.35">
      <c r="A337" s="70">
        <v>45993</v>
      </c>
      <c r="B337" s="71" t="str">
        <f t="shared" si="52"/>
        <v>Di</v>
      </c>
      <c r="C337" s="69">
        <f t="shared" si="53"/>
        <v>12</v>
      </c>
      <c r="D337" s="69">
        <v>336</v>
      </c>
      <c r="E337" s="69" t="str">
        <f>IF(OR(COUNTIF(Feiertage_Hessen_2025!$C$4:$C$13,A337)&gt;0,WEEKDAY(A337,2)=7),"FT",IF(WEEKDAY(A337,2)=6,"SA","WT"))</f>
        <v>WT</v>
      </c>
      <c r="F337" s="69">
        <f>INDEX('BDEW-H25 Tagessummen'!$C$4:$C$39, MATCH(C337&amp;"_"&amp;E337, 'BDEW-H25 Tagessummen'!$D$4:$D$39, 0))</f>
        <v>2536.5189999999993</v>
      </c>
      <c r="G337" s="69">
        <f t="shared" si="50"/>
        <v>1.1626400481280004</v>
      </c>
      <c r="H337" s="69">
        <f>Tabelle1[[#This Row],[Profilwert (kWh)]]*Tabelle1[[#This Row],[Dynamisierungsfaktor]]</f>
        <v>2949.0585722375868</v>
      </c>
      <c r="I337" s="69">
        <f>Annahmen!$B$5*(H337/SUM($H$2:$H$366))</f>
        <v>14.751670715816159</v>
      </c>
      <c r="J337" s="69">
        <f>Annahmen!$B$6</f>
        <v>130</v>
      </c>
      <c r="K337" s="69">
        <f t="shared" si="54"/>
        <v>1917.7171930561008</v>
      </c>
      <c r="L337" s="69">
        <f>I337*Annahmen!$B$7</f>
        <v>10.326169501071311</v>
      </c>
      <c r="M337" s="69">
        <f>I337*(1-Annahmen!$B$7)</f>
        <v>4.4255012147448483</v>
      </c>
      <c r="N337" s="69">
        <f>Annahmen!$B$8</f>
        <v>78</v>
      </c>
      <c r="O337" s="72">
        <f>INDEX(Quelle_SMARD_Preise_2025!$C$11:$C$375, MATCH($A337,Quelle_SMARD_Preise_2025!$A$11:$A$375, 0))</f>
        <v>100.37</v>
      </c>
      <c r="P337" s="69">
        <f t="shared" si="55"/>
        <v>805.44122108356225</v>
      </c>
      <c r="Q337" s="69">
        <f t="shared" si="56"/>
        <v>444.18755692394046</v>
      </c>
      <c r="R337" s="73">
        <f>Annahmen!$B$9</f>
        <v>0.05</v>
      </c>
      <c r="S337" s="69">
        <f t="shared" si="57"/>
        <v>0.73758353579080804</v>
      </c>
      <c r="T337" s="69">
        <f t="shared" si="58"/>
        <v>0</v>
      </c>
      <c r="U337" s="74">
        <f>$O337+Annahmen!$B$10+(T337*Annahmen!$B$11)</f>
        <v>108.37</v>
      </c>
      <c r="V337" s="74">
        <f t="shared" si="51"/>
        <v>79.931927773649875</v>
      </c>
      <c r="W337" s="74">
        <f t="shared" si="59"/>
        <v>588.15648727494818</v>
      </c>
    </row>
    <row r="338" spans="1:23" x14ac:dyDescent="0.35">
      <c r="A338" s="70">
        <v>45994</v>
      </c>
      <c r="B338" s="71" t="str">
        <f t="shared" si="52"/>
        <v>Mi</v>
      </c>
      <c r="C338" s="69">
        <f t="shared" si="53"/>
        <v>12</v>
      </c>
      <c r="D338" s="69">
        <v>337</v>
      </c>
      <c r="E338" s="69" t="str">
        <f>IF(OR(COUNTIF(Feiertage_Hessen_2025!$C$4:$C$13,A338)&gt;0,WEEKDAY(A338,2)=7),"FT",IF(WEEKDAY(A338,2)=6,"SA","WT"))</f>
        <v>WT</v>
      </c>
      <c r="F338" s="69">
        <f>INDEX('BDEW-H25 Tagessummen'!$C$4:$C$39, MATCH(C338&amp;"_"&amp;E338, 'BDEW-H25 Tagessummen'!$D$4:$D$39, 0))</f>
        <v>2536.5189999999993</v>
      </c>
      <c r="G338" s="69">
        <f t="shared" si="50"/>
        <v>1.1664533976880005</v>
      </c>
      <c r="H338" s="69">
        <f>Tabelle1[[#This Row],[Profilwert (kWh)]]*Tabelle1[[#This Row],[Dynamisierungsfaktor]]</f>
        <v>2958.7312058501684</v>
      </c>
      <c r="I338" s="69">
        <f>Annahmen!$B$5*(H338/SUM($H$2:$H$366))</f>
        <v>14.800054802639934</v>
      </c>
      <c r="J338" s="69">
        <f>Annahmen!$B$6</f>
        <v>130</v>
      </c>
      <c r="K338" s="69">
        <f t="shared" si="54"/>
        <v>1924.0071243431914</v>
      </c>
      <c r="L338" s="69">
        <f>I338*Annahmen!$B$7</f>
        <v>10.360038361847954</v>
      </c>
      <c r="M338" s="69">
        <f>I338*(1-Annahmen!$B$7)</f>
        <v>4.4400164407919807</v>
      </c>
      <c r="N338" s="69">
        <f>Annahmen!$B$8</f>
        <v>78</v>
      </c>
      <c r="O338" s="72">
        <f>INDEX(Quelle_SMARD_Preise_2025!$C$11:$C$375, MATCH($A338,Quelle_SMARD_Preise_2025!$A$11:$A$375, 0))</f>
        <v>164.81</v>
      </c>
      <c r="P338" s="69">
        <f t="shared" si="55"/>
        <v>808.08299222414041</v>
      </c>
      <c r="Q338" s="69">
        <f t="shared" si="56"/>
        <v>731.75910960692636</v>
      </c>
      <c r="R338" s="73">
        <f>Annahmen!$B$9</f>
        <v>0.05</v>
      </c>
      <c r="S338" s="69">
        <f t="shared" si="57"/>
        <v>0.74000274013199674</v>
      </c>
      <c r="T338" s="69">
        <f t="shared" si="58"/>
        <v>0</v>
      </c>
      <c r="U338" s="74">
        <f>$O338+Annahmen!$B$10+(T338*Annahmen!$B$11)</f>
        <v>172.81</v>
      </c>
      <c r="V338" s="74">
        <f t="shared" si="51"/>
        <v>127.87987352221036</v>
      </c>
      <c r="W338" s="74">
        <f t="shared" si="59"/>
        <v>256.28514898991443</v>
      </c>
    </row>
    <row r="339" spans="1:23" x14ac:dyDescent="0.35">
      <c r="A339" s="70">
        <v>45995</v>
      </c>
      <c r="B339" s="71" t="str">
        <f t="shared" si="52"/>
        <v>Do</v>
      </c>
      <c r="C339" s="69">
        <f t="shared" si="53"/>
        <v>12</v>
      </c>
      <c r="D339" s="69">
        <v>338</v>
      </c>
      <c r="E339" s="69" t="str">
        <f>IF(OR(COUNTIF(Feiertage_Hessen_2025!$C$4:$C$13,A339)&gt;0,WEEKDAY(A339,2)=7),"FT",IF(WEEKDAY(A339,2)=6,"SA","WT"))</f>
        <v>WT</v>
      </c>
      <c r="F339" s="69">
        <f>INDEX('BDEW-H25 Tagessummen'!$C$4:$C$39, MATCH(C339&amp;"_"&amp;E339, 'BDEW-H25 Tagessummen'!$D$4:$D$39, 0))</f>
        <v>2536.5189999999993</v>
      </c>
      <c r="G339" s="69">
        <f t="shared" si="50"/>
        <v>1.1702391578879996</v>
      </c>
      <c r="H339" s="69">
        <f>Tabelle1[[#This Row],[Profilwert (kWh)]]*Tabelle1[[#This Row],[Dynamisierungsfaktor]]</f>
        <v>2968.3338585269103</v>
      </c>
      <c r="I339" s="69">
        <f>Annahmen!$B$5*(H339/SUM($H$2:$H$366))</f>
        <v>14.848088833438505</v>
      </c>
      <c r="J339" s="69">
        <f>Annahmen!$B$6</f>
        <v>130</v>
      </c>
      <c r="K339" s="69">
        <f t="shared" si="54"/>
        <v>1930.2515483470056</v>
      </c>
      <c r="L339" s="69">
        <f>I339*Annahmen!$B$7</f>
        <v>10.393662183406953</v>
      </c>
      <c r="M339" s="69">
        <f>I339*(1-Annahmen!$B$7)</f>
        <v>4.4544266500315519</v>
      </c>
      <c r="N339" s="69">
        <f>Annahmen!$B$8</f>
        <v>78</v>
      </c>
      <c r="O339" s="72">
        <f>INDEX(Quelle_SMARD_Preise_2025!$C$11:$C$375, MATCH($A339,Quelle_SMARD_Preise_2025!$A$11:$A$375, 0))</f>
        <v>124.86</v>
      </c>
      <c r="P339" s="69">
        <f t="shared" si="55"/>
        <v>810.70565030574232</v>
      </c>
      <c r="Q339" s="69">
        <f t="shared" si="56"/>
        <v>556.17971152293956</v>
      </c>
      <c r="R339" s="73">
        <f>Annahmen!$B$9</f>
        <v>0.05</v>
      </c>
      <c r="S339" s="69">
        <f t="shared" si="57"/>
        <v>0.74240444167192532</v>
      </c>
      <c r="T339" s="69">
        <f t="shared" si="58"/>
        <v>0</v>
      </c>
      <c r="U339" s="74">
        <f>$O339+Annahmen!$B$10+(T339*Annahmen!$B$11)</f>
        <v>132.86000000000001</v>
      </c>
      <c r="V339" s="74">
        <f t="shared" si="51"/>
        <v>98.635854120532002</v>
      </c>
      <c r="W339" s="74">
        <f t="shared" si="59"/>
        <v>464.73033239779159</v>
      </c>
    </row>
    <row r="340" spans="1:23" x14ac:dyDescent="0.35">
      <c r="A340" s="70">
        <v>45996</v>
      </c>
      <c r="B340" s="71" t="str">
        <f t="shared" si="52"/>
        <v>Fr</v>
      </c>
      <c r="C340" s="69">
        <f t="shared" si="53"/>
        <v>12</v>
      </c>
      <c r="D340" s="69">
        <v>339</v>
      </c>
      <c r="E340" s="69" t="str">
        <f>IF(OR(COUNTIF(Feiertage_Hessen_2025!$C$4:$C$13,A340)&gt;0,WEEKDAY(A340,2)=7),"FT",IF(WEEKDAY(A340,2)=6,"SA","WT"))</f>
        <v>WT</v>
      </c>
      <c r="F340" s="69">
        <f>INDEX('BDEW-H25 Tagessummen'!$C$4:$C$39, MATCH(C340&amp;"_"&amp;E340, 'BDEW-H25 Tagessummen'!$D$4:$D$39, 0))</f>
        <v>2536.5189999999993</v>
      </c>
      <c r="G340" s="69">
        <f t="shared" si="50"/>
        <v>1.1739960735279995</v>
      </c>
      <c r="H340" s="69">
        <f>Tabelle1[[#This Row],[Profilwert (kWh)]]*Tabelle1[[#This Row],[Dynamisierungsfaktor]]</f>
        <v>2977.863346429167</v>
      </c>
      <c r="I340" s="69">
        <f>Annahmen!$B$5*(H340/SUM($H$2:$H$366))</f>
        <v>14.895756882133036</v>
      </c>
      <c r="J340" s="69">
        <f>Annahmen!$B$6</f>
        <v>130</v>
      </c>
      <c r="K340" s="69">
        <f t="shared" si="54"/>
        <v>1936.4483946772946</v>
      </c>
      <c r="L340" s="69">
        <f>I340*Annahmen!$B$7</f>
        <v>10.427029817493125</v>
      </c>
      <c r="M340" s="69">
        <f>I340*(1-Annahmen!$B$7)</f>
        <v>4.4687270646399115</v>
      </c>
      <c r="N340" s="69">
        <f>Annahmen!$B$8</f>
        <v>78</v>
      </c>
      <c r="O340" s="72">
        <f>INDEX(Quelle_SMARD_Preise_2025!$C$11:$C$375, MATCH($A340,Quelle_SMARD_Preise_2025!$A$11:$A$375, 0))</f>
        <v>133.29</v>
      </c>
      <c r="P340" s="69">
        <f t="shared" si="55"/>
        <v>813.30832576446369</v>
      </c>
      <c r="Q340" s="69">
        <f t="shared" si="56"/>
        <v>595.63663044585383</v>
      </c>
      <c r="R340" s="73">
        <f>Annahmen!$B$9</f>
        <v>0.05</v>
      </c>
      <c r="S340" s="69">
        <f t="shared" si="57"/>
        <v>0.74478784410665178</v>
      </c>
      <c r="T340" s="69">
        <f t="shared" si="58"/>
        <v>0</v>
      </c>
      <c r="U340" s="74">
        <f>$O340+Annahmen!$B$10+(T340*Annahmen!$B$11)</f>
        <v>141.29</v>
      </c>
      <c r="V340" s="74">
        <f t="shared" si="51"/>
        <v>105.23107449382883</v>
      </c>
      <c r="W340" s="74">
        <f t="shared" si="59"/>
        <v>422.27236397314823</v>
      </c>
    </row>
    <row r="341" spans="1:23" x14ac:dyDescent="0.35">
      <c r="A341" s="70">
        <v>45997</v>
      </c>
      <c r="B341" s="71" t="str">
        <f t="shared" si="52"/>
        <v>Sa</v>
      </c>
      <c r="C341" s="69">
        <f t="shared" si="53"/>
        <v>12</v>
      </c>
      <c r="D341" s="69">
        <v>340</v>
      </c>
      <c r="E341" s="69" t="str">
        <f>IF(OR(COUNTIF(Feiertage_Hessen_2025!$C$4:$C$13,A341)&gt;0,WEEKDAY(A341,2)=7),"FT",IF(WEEKDAY(A341,2)=6,"SA","WT"))</f>
        <v>SA</v>
      </c>
      <c r="F341" s="69">
        <f>INDEX('BDEW-H25 Tagessummen'!$C$4:$C$39, MATCH(C341&amp;"_"&amp;E341, 'BDEW-H25 Tagessummen'!$D$4:$D$39, 0))</f>
        <v>2816.4139999999993</v>
      </c>
      <c r="G341" s="69">
        <f t="shared" si="50"/>
        <v>1.1777228800000015</v>
      </c>
      <c r="H341" s="69">
        <f>Tabelle1[[#This Row],[Profilwert (kWh)]]*Tabelle1[[#This Row],[Dynamisierungsfaktor]]</f>
        <v>3316.9552073523232</v>
      </c>
      <c r="I341" s="69">
        <f>Annahmen!$B$5*(H341/SUM($H$2:$H$366))</f>
        <v>16.591949532167909</v>
      </c>
      <c r="J341" s="69">
        <f>Annahmen!$B$6</f>
        <v>130</v>
      </c>
      <c r="K341" s="69">
        <f t="shared" si="54"/>
        <v>2156.9534391818283</v>
      </c>
      <c r="L341" s="69">
        <f>I341*Annahmen!$B$7</f>
        <v>11.614364672517535</v>
      </c>
      <c r="M341" s="69">
        <f>I341*(1-Annahmen!$B$7)</f>
        <v>4.9775848596503733</v>
      </c>
      <c r="N341" s="69">
        <f>Annahmen!$B$8</f>
        <v>78</v>
      </c>
      <c r="O341" s="72">
        <f>INDEX(Quelle_SMARD_Preise_2025!$C$11:$C$375, MATCH($A341,Quelle_SMARD_Preise_2025!$A$11:$A$375, 0))</f>
        <v>79.61</v>
      </c>
      <c r="P341" s="69">
        <f t="shared" si="55"/>
        <v>905.9204444563677</v>
      </c>
      <c r="Q341" s="69">
        <f t="shared" si="56"/>
        <v>396.26553067676622</v>
      </c>
      <c r="R341" s="73">
        <f>Annahmen!$B$9</f>
        <v>0.05</v>
      </c>
      <c r="S341" s="69">
        <f t="shared" si="57"/>
        <v>0.82959747660839556</v>
      </c>
      <c r="T341" s="69">
        <f t="shared" si="58"/>
        <v>0</v>
      </c>
      <c r="U341" s="74">
        <f>$O341+Annahmen!$B$10+(T341*Annahmen!$B$11)</f>
        <v>87.61</v>
      </c>
      <c r="V341" s="74">
        <f t="shared" si="51"/>
        <v>72.681034925661535</v>
      </c>
      <c r="W341" s="74">
        <f t="shared" si="59"/>
        <v>782.08642912303287</v>
      </c>
    </row>
    <row r="342" spans="1:23" x14ac:dyDescent="0.35">
      <c r="A342" s="70">
        <v>45998</v>
      </c>
      <c r="B342" s="71" t="str">
        <f t="shared" si="52"/>
        <v>So</v>
      </c>
      <c r="C342" s="69">
        <f t="shared" si="53"/>
        <v>12</v>
      </c>
      <c r="D342" s="69">
        <v>341</v>
      </c>
      <c r="E342" s="69" t="str">
        <f>IF(OR(COUNTIF(Feiertage_Hessen_2025!$C$4:$C$13,A342)&gt;0,WEEKDAY(A342,2)=7),"FT",IF(WEEKDAY(A342,2)=6,"SA","WT"))</f>
        <v>FT</v>
      </c>
      <c r="F342" s="69">
        <f>INDEX('BDEW-H25 Tagessummen'!$C$4:$C$39, MATCH(C342&amp;"_"&amp;E342, 'BDEW-H25 Tagessummen'!$D$4:$D$39, 0))</f>
        <v>2936.7459999999987</v>
      </c>
      <c r="G342" s="69">
        <f t="shared" si="50"/>
        <v>1.1814183032880008</v>
      </c>
      <c r="H342" s="69">
        <f>Tabelle1[[#This Row],[Profilwert (kWh)]]*Tabelle1[[#This Row],[Dynamisierungsfaktor]]</f>
        <v>3469.5254765078216</v>
      </c>
      <c r="I342" s="69">
        <f>Annahmen!$B$5*(H342/SUM($H$2:$H$366))</f>
        <v>17.355130837820198</v>
      </c>
      <c r="J342" s="69">
        <f>Annahmen!$B$6</f>
        <v>130</v>
      </c>
      <c r="K342" s="69">
        <f t="shared" si="54"/>
        <v>2256.1670089166259</v>
      </c>
      <c r="L342" s="69">
        <f>I342*Annahmen!$B$7</f>
        <v>12.148591586474138</v>
      </c>
      <c r="M342" s="69">
        <f>I342*(1-Annahmen!$B$7)</f>
        <v>5.2065392513460598</v>
      </c>
      <c r="N342" s="69">
        <f>Annahmen!$B$8</f>
        <v>78</v>
      </c>
      <c r="O342" s="72">
        <f>INDEX(Quelle_SMARD_Preise_2025!$C$11:$C$375, MATCH($A342,Quelle_SMARD_Preise_2025!$A$11:$A$375, 0))</f>
        <v>80.39</v>
      </c>
      <c r="P342" s="69">
        <f t="shared" si="55"/>
        <v>947.59014374498281</v>
      </c>
      <c r="Q342" s="69">
        <f t="shared" si="56"/>
        <v>418.55369041570975</v>
      </c>
      <c r="R342" s="73">
        <f>Annahmen!$B$9</f>
        <v>0.05</v>
      </c>
      <c r="S342" s="69">
        <f t="shared" si="57"/>
        <v>0.86775654189100992</v>
      </c>
      <c r="T342" s="69">
        <f t="shared" si="58"/>
        <v>0</v>
      </c>
      <c r="U342" s="74">
        <f>$O342+Annahmen!$B$10+(T342*Annahmen!$B$11)</f>
        <v>88.39</v>
      </c>
      <c r="V342" s="74">
        <f t="shared" si="51"/>
        <v>76.701000737746369</v>
      </c>
      <c r="W342" s="74">
        <f t="shared" si="59"/>
        <v>813.32217401818684</v>
      </c>
    </row>
    <row r="343" spans="1:23" x14ac:dyDescent="0.35">
      <c r="A343" s="70">
        <v>45999</v>
      </c>
      <c r="B343" s="71" t="str">
        <f t="shared" si="52"/>
        <v>Mo</v>
      </c>
      <c r="C343" s="69">
        <f t="shared" si="53"/>
        <v>12</v>
      </c>
      <c r="D343" s="69">
        <v>342</v>
      </c>
      <c r="E343" s="69" t="str">
        <f>IF(OR(COUNTIF(Feiertage_Hessen_2025!$C$4:$C$13,A343)&gt;0,WEEKDAY(A343,2)=7),"FT",IF(WEEKDAY(A343,2)=6,"SA","WT"))</f>
        <v>WT</v>
      </c>
      <c r="F343" s="69">
        <f>INDEX('BDEW-H25 Tagessummen'!$C$4:$C$39, MATCH(C343&amp;"_"&amp;E343, 'BDEW-H25 Tagessummen'!$D$4:$D$39, 0))</f>
        <v>2536.5189999999993</v>
      </c>
      <c r="G343" s="69">
        <f t="shared" si="50"/>
        <v>1.1850810599680002</v>
      </c>
      <c r="H343" s="69">
        <f>Tabelle1[[#This Row],[Profilwert (kWh)]]*Tabelle1[[#This Row],[Dynamisierungsfaktor]]</f>
        <v>3005.9806251489708</v>
      </c>
      <c r="I343" s="69">
        <f>Annahmen!$B$5*(H343/SUM($H$2:$H$366))</f>
        <v>15.036404084261903</v>
      </c>
      <c r="J343" s="69">
        <f>Annahmen!$B$6</f>
        <v>130</v>
      </c>
      <c r="K343" s="69">
        <f t="shared" si="54"/>
        <v>1954.7325309540474</v>
      </c>
      <c r="L343" s="69">
        <f>I343*Annahmen!$B$7</f>
        <v>10.525482858983331</v>
      </c>
      <c r="M343" s="69">
        <f>I343*(1-Annahmen!$B$7)</f>
        <v>4.5109212252785715</v>
      </c>
      <c r="N343" s="69">
        <f>Annahmen!$B$8</f>
        <v>78</v>
      </c>
      <c r="O343" s="72">
        <f>INDEX(Quelle_SMARD_Preise_2025!$C$11:$C$375, MATCH($A343,Quelle_SMARD_Preise_2025!$A$11:$A$375, 0))</f>
        <v>70.64</v>
      </c>
      <c r="P343" s="69">
        <f t="shared" si="55"/>
        <v>820.98766300069985</v>
      </c>
      <c r="Q343" s="69">
        <f t="shared" si="56"/>
        <v>318.65147535367828</v>
      </c>
      <c r="R343" s="73">
        <f>Annahmen!$B$9</f>
        <v>0.05</v>
      </c>
      <c r="S343" s="69">
        <f t="shared" si="57"/>
        <v>0.75182020421309526</v>
      </c>
      <c r="T343" s="69">
        <f t="shared" si="58"/>
        <v>0</v>
      </c>
      <c r="U343" s="74">
        <f>$O343+Annahmen!$B$10+(T343*Annahmen!$B$11)</f>
        <v>78.64</v>
      </c>
      <c r="V343" s="74">
        <f t="shared" si="51"/>
        <v>59.123140859317814</v>
      </c>
      <c r="W343" s="74">
        <f t="shared" si="59"/>
        <v>755.97025174035161</v>
      </c>
    </row>
    <row r="344" spans="1:23" x14ac:dyDescent="0.35">
      <c r="A344" s="70">
        <v>46000</v>
      </c>
      <c r="B344" s="71" t="str">
        <f t="shared" si="52"/>
        <v>Di</v>
      </c>
      <c r="C344" s="69">
        <f t="shared" si="53"/>
        <v>12</v>
      </c>
      <c r="D344" s="69">
        <v>343</v>
      </c>
      <c r="E344" s="69" t="str">
        <f>IF(OR(COUNTIF(Feiertage_Hessen_2025!$C$4:$C$13,A344)&gt;0,WEEKDAY(A344,2)=7),"FT",IF(WEEKDAY(A344,2)=6,"SA","WT"))</f>
        <v>WT</v>
      </c>
      <c r="F344" s="69">
        <f>INDEX('BDEW-H25 Tagessummen'!$C$4:$C$39, MATCH(C344&amp;"_"&amp;E344, 'BDEW-H25 Tagessummen'!$D$4:$D$39, 0))</f>
        <v>2536.5189999999993</v>
      </c>
      <c r="G344" s="69">
        <f t="shared" si="50"/>
        <v>1.1887098572080017</v>
      </c>
      <c r="H344" s="69">
        <f>Tabelle1[[#This Row],[Profilwert (kWh)]]*Tabelle1[[#This Row],[Dynamisierungsfaktor]]</f>
        <v>3015.1851382953823</v>
      </c>
      <c r="I344" s="69">
        <f>Annahmen!$B$5*(H344/SUM($H$2:$H$366))</f>
        <v>15.082446556362497</v>
      </c>
      <c r="J344" s="69">
        <f>Annahmen!$B$6</f>
        <v>130</v>
      </c>
      <c r="K344" s="69">
        <f t="shared" si="54"/>
        <v>1960.7180523271245</v>
      </c>
      <c r="L344" s="69">
        <f>I344*Annahmen!$B$7</f>
        <v>10.557712589453747</v>
      </c>
      <c r="M344" s="69">
        <f>I344*(1-Annahmen!$B$7)</f>
        <v>4.5247339669087498</v>
      </c>
      <c r="N344" s="69">
        <f>Annahmen!$B$8</f>
        <v>78</v>
      </c>
      <c r="O344" s="72">
        <f>INDEX(Quelle_SMARD_Preise_2025!$C$11:$C$375, MATCH($A344,Quelle_SMARD_Preise_2025!$A$11:$A$375, 0))</f>
        <v>91.57</v>
      </c>
      <c r="P344" s="69">
        <f t="shared" si="55"/>
        <v>823.50158197739222</v>
      </c>
      <c r="Q344" s="69">
        <f t="shared" si="56"/>
        <v>414.32988934983422</v>
      </c>
      <c r="R344" s="73">
        <f>Annahmen!$B$9</f>
        <v>0.05</v>
      </c>
      <c r="S344" s="69">
        <f t="shared" si="57"/>
        <v>0.75412232781812483</v>
      </c>
      <c r="T344" s="69">
        <f t="shared" si="58"/>
        <v>0</v>
      </c>
      <c r="U344" s="74">
        <f>$O344+Annahmen!$B$10+(T344*Annahmen!$B$11)</f>
        <v>99.57</v>
      </c>
      <c r="V344" s="74">
        <f t="shared" si="51"/>
        <v>75.087960180850686</v>
      </c>
      <c r="W344" s="74">
        <f t="shared" si="59"/>
        <v>647.79862081904741</v>
      </c>
    </row>
    <row r="345" spans="1:23" x14ac:dyDescent="0.35">
      <c r="A345" s="70">
        <v>46001</v>
      </c>
      <c r="B345" s="71" t="str">
        <f t="shared" si="52"/>
        <v>Mi</v>
      </c>
      <c r="C345" s="69">
        <f t="shared" si="53"/>
        <v>12</v>
      </c>
      <c r="D345" s="69">
        <v>344</v>
      </c>
      <c r="E345" s="69" t="str">
        <f>IF(OR(COUNTIF(Feiertage_Hessen_2025!$C$4:$C$13,A345)&gt;0,WEEKDAY(A345,2)=7),"FT",IF(WEEKDAY(A345,2)=6,"SA","WT"))</f>
        <v>WT</v>
      </c>
      <c r="F345" s="69">
        <f>INDEX('BDEW-H25 Tagessummen'!$C$4:$C$39, MATCH(C345&amp;"_"&amp;E345, 'BDEW-H25 Tagessummen'!$D$4:$D$39, 0))</f>
        <v>2536.5189999999993</v>
      </c>
      <c r="G345" s="69">
        <f t="shared" si="50"/>
        <v>1.1923033927680016</v>
      </c>
      <c r="H345" s="69">
        <f>Tabelle1[[#This Row],[Profilwert (kWh)]]*Tabelle1[[#This Row],[Dynamisierungsfaktor]]</f>
        <v>3024.3002095204979</v>
      </c>
      <c r="I345" s="69">
        <f>Annahmen!$B$5*(H345/SUM($H$2:$H$366))</f>
        <v>15.128041625422821</v>
      </c>
      <c r="J345" s="69">
        <f>Annahmen!$B$6</f>
        <v>130</v>
      </c>
      <c r="K345" s="69">
        <f t="shared" si="54"/>
        <v>1966.6454113049667</v>
      </c>
      <c r="L345" s="69">
        <f>I345*Annahmen!$B$7</f>
        <v>10.589629137795974</v>
      </c>
      <c r="M345" s="69">
        <f>I345*(1-Annahmen!$B$7)</f>
        <v>4.5384124876268466</v>
      </c>
      <c r="N345" s="69">
        <f>Annahmen!$B$8</f>
        <v>78</v>
      </c>
      <c r="O345" s="72">
        <f>INDEX(Quelle_SMARD_Preise_2025!$C$11:$C$375, MATCH($A345,Quelle_SMARD_Preise_2025!$A$11:$A$375, 0))</f>
        <v>78.5</v>
      </c>
      <c r="P345" s="69">
        <f t="shared" si="55"/>
        <v>825.99107274808603</v>
      </c>
      <c r="Q345" s="69">
        <f t="shared" si="56"/>
        <v>356.26538027870748</v>
      </c>
      <c r="R345" s="73">
        <f>Annahmen!$B$9</f>
        <v>0.05</v>
      </c>
      <c r="S345" s="69">
        <f t="shared" si="57"/>
        <v>0.75640208127114106</v>
      </c>
      <c r="T345" s="69">
        <f t="shared" si="58"/>
        <v>0</v>
      </c>
      <c r="U345" s="74">
        <f>$O345+Annahmen!$B$10+(T345*Annahmen!$B$11)</f>
        <v>86.5</v>
      </c>
      <c r="V345" s="74">
        <f t="shared" si="51"/>
        <v>65.4287800299537</v>
      </c>
      <c r="W345" s="74">
        <f t="shared" si="59"/>
        <v>718.96017824821956</v>
      </c>
    </row>
    <row r="346" spans="1:23" x14ac:dyDescent="0.35">
      <c r="A346" s="70">
        <v>46002</v>
      </c>
      <c r="B346" s="71" t="str">
        <f t="shared" si="52"/>
        <v>Do</v>
      </c>
      <c r="C346" s="69">
        <f t="shared" si="53"/>
        <v>12</v>
      </c>
      <c r="D346" s="69">
        <v>345</v>
      </c>
      <c r="E346" s="69" t="str">
        <f>IF(OR(COUNTIF(Feiertage_Hessen_2025!$C$4:$C$13,A346)&gt;0,WEEKDAY(A346,2)=7),"FT",IF(WEEKDAY(A346,2)=6,"SA","WT"))</f>
        <v>WT</v>
      </c>
      <c r="F346" s="69">
        <f>INDEX('BDEW-H25 Tagessummen'!$C$4:$C$39, MATCH(C346&amp;"_"&amp;E346, 'BDEW-H25 Tagessummen'!$D$4:$D$39, 0))</f>
        <v>2536.5189999999993</v>
      </c>
      <c r="G346" s="69">
        <f t="shared" si="50"/>
        <v>1.1958603550000007</v>
      </c>
      <c r="H346" s="69">
        <f>Tabelle1[[#This Row],[Profilwert (kWh)]]*Tabelle1[[#This Row],[Dynamisierungsfaktor]]</f>
        <v>3033.322511804246</v>
      </c>
      <c r="I346" s="69">
        <f>Annahmen!$B$5*(H346/SUM($H$2:$H$366))</f>
        <v>15.173172649147258</v>
      </c>
      <c r="J346" s="69">
        <f>Annahmen!$B$6</f>
        <v>130</v>
      </c>
      <c r="K346" s="69">
        <f t="shared" si="54"/>
        <v>1972.5124443891434</v>
      </c>
      <c r="L346" s="69">
        <f>I346*Annahmen!$B$7</f>
        <v>10.621220854403079</v>
      </c>
      <c r="M346" s="69">
        <f>I346*(1-Annahmen!$B$7)</f>
        <v>4.5519517947441779</v>
      </c>
      <c r="N346" s="69">
        <f>Annahmen!$B$8</f>
        <v>78</v>
      </c>
      <c r="O346" s="72">
        <f>INDEX(Quelle_SMARD_Preise_2025!$C$11:$C$375, MATCH($A346,Quelle_SMARD_Preise_2025!$A$11:$A$375, 0))</f>
        <v>94.46</v>
      </c>
      <c r="P346" s="69">
        <f t="shared" si="55"/>
        <v>828.45522664344014</v>
      </c>
      <c r="Q346" s="69">
        <f t="shared" si="56"/>
        <v>429.97736653153504</v>
      </c>
      <c r="R346" s="73">
        <f>Annahmen!$B$9</f>
        <v>0.05</v>
      </c>
      <c r="S346" s="69">
        <f t="shared" si="57"/>
        <v>0.75865863245736298</v>
      </c>
      <c r="T346" s="69">
        <f t="shared" si="58"/>
        <v>0</v>
      </c>
      <c r="U346" s="74">
        <f>$O346+Annahmen!$B$10+(T346*Annahmen!$B$11)</f>
        <v>102.46</v>
      </c>
      <c r="V346" s="74">
        <f t="shared" si="51"/>
        <v>77.732163481581409</v>
      </c>
      <c r="W346" s="74">
        <f t="shared" si="59"/>
        <v>636.34768773258691</v>
      </c>
    </row>
    <row r="347" spans="1:23" x14ac:dyDescent="0.35">
      <c r="A347" s="70">
        <v>46003</v>
      </c>
      <c r="B347" s="71" t="str">
        <f t="shared" si="52"/>
        <v>Fr</v>
      </c>
      <c r="C347" s="69">
        <f t="shared" si="53"/>
        <v>12</v>
      </c>
      <c r="D347" s="69">
        <v>346</v>
      </c>
      <c r="E347" s="69" t="str">
        <f>IF(OR(COUNTIF(Feiertage_Hessen_2025!$C$4:$C$13,A347)&gt;0,WEEKDAY(A347,2)=7),"FT",IF(WEEKDAY(A347,2)=6,"SA","WT"))</f>
        <v>WT</v>
      </c>
      <c r="F347" s="69">
        <f>INDEX('BDEW-H25 Tagessummen'!$C$4:$C$39, MATCH(C347&amp;"_"&amp;E347, 'BDEW-H25 Tagessummen'!$D$4:$D$39, 0))</f>
        <v>2536.5189999999993</v>
      </c>
      <c r="G347" s="69">
        <f t="shared" si="50"/>
        <v>1.1993794228480019</v>
      </c>
      <c r="H347" s="69">
        <f>Tabelle1[[#This Row],[Profilwert (kWh)]]*Tabelle1[[#This Row],[Dynamisierungsfaktor]]</f>
        <v>3042.2486942629903</v>
      </c>
      <c r="I347" s="69">
        <f>Annahmen!$B$5*(H347/SUM($H$2:$H$366))</f>
        <v>15.217822865870755</v>
      </c>
      <c r="J347" s="69">
        <f>Annahmen!$B$6</f>
        <v>130</v>
      </c>
      <c r="K347" s="69">
        <f t="shared" si="54"/>
        <v>1978.3169725631981</v>
      </c>
      <c r="L347" s="69">
        <f>I347*Annahmen!$B$7</f>
        <v>10.652476006109527</v>
      </c>
      <c r="M347" s="69">
        <f>I347*(1-Annahmen!$B$7)</f>
        <v>4.5653468597612274</v>
      </c>
      <c r="N347" s="69">
        <f>Annahmen!$B$8</f>
        <v>78</v>
      </c>
      <c r="O347" s="72">
        <f>INDEX(Quelle_SMARD_Preise_2025!$C$11:$C$375, MATCH($A347,Quelle_SMARD_Preise_2025!$A$11:$A$375, 0))</f>
        <v>113.44</v>
      </c>
      <c r="P347" s="69">
        <f t="shared" si="55"/>
        <v>830.8931284765431</v>
      </c>
      <c r="Q347" s="69">
        <f t="shared" si="56"/>
        <v>517.89294777131363</v>
      </c>
      <c r="R347" s="73">
        <f>Annahmen!$B$9</f>
        <v>0.05</v>
      </c>
      <c r="S347" s="69">
        <f t="shared" si="57"/>
        <v>0.7608911432935378</v>
      </c>
      <c r="T347" s="69">
        <f t="shared" si="58"/>
        <v>0</v>
      </c>
      <c r="U347" s="74">
        <f>$O347+Annahmen!$B$10+(T347*Annahmen!$B$11)</f>
        <v>121.44</v>
      </c>
      <c r="V347" s="74">
        <f t="shared" si="51"/>
        <v>92.402620441567223</v>
      </c>
      <c r="W347" s="74">
        <f t="shared" si="59"/>
        <v>537.1282758737741</v>
      </c>
    </row>
    <row r="348" spans="1:23" x14ac:dyDescent="0.35">
      <c r="A348" s="70">
        <v>46004</v>
      </c>
      <c r="B348" s="71" t="str">
        <f t="shared" si="52"/>
        <v>Sa</v>
      </c>
      <c r="C348" s="69">
        <f t="shared" si="53"/>
        <v>12</v>
      </c>
      <c r="D348" s="69">
        <v>347</v>
      </c>
      <c r="E348" s="69" t="str">
        <f>IF(OR(COUNTIF(Feiertage_Hessen_2025!$C$4:$C$13,A348)&gt;0,WEEKDAY(A348,2)=7),"FT",IF(WEEKDAY(A348,2)=6,"SA","WT"))</f>
        <v>SA</v>
      </c>
      <c r="F348" s="69">
        <f>INDEX('BDEW-H25 Tagessummen'!$C$4:$C$39, MATCH(C348&amp;"_"&amp;E348, 'BDEW-H25 Tagessummen'!$D$4:$D$39, 0))</f>
        <v>2816.4139999999993</v>
      </c>
      <c r="G348" s="69">
        <f t="shared" si="50"/>
        <v>1.2028592658480006</v>
      </c>
      <c r="H348" s="69">
        <f>Tabelle1[[#This Row],[Profilwert (kWh)]]*Tabelle1[[#This Row],[Dynamisierungsfaktor]]</f>
        <v>3387.7496763640302</v>
      </c>
      <c r="I348" s="69">
        <f>Annahmen!$B$5*(H348/SUM($H$2:$H$366))</f>
        <v>16.946074982639843</v>
      </c>
      <c r="J348" s="69">
        <f>Annahmen!$B$6</f>
        <v>130</v>
      </c>
      <c r="K348" s="69">
        <f t="shared" si="54"/>
        <v>2202.9897477431796</v>
      </c>
      <c r="L348" s="69">
        <f>I348*Annahmen!$B$7</f>
        <v>11.86225248784789</v>
      </c>
      <c r="M348" s="69">
        <f>I348*(1-Annahmen!$B$7)</f>
        <v>5.0838224947919537</v>
      </c>
      <c r="N348" s="69">
        <f>Annahmen!$B$8</f>
        <v>78</v>
      </c>
      <c r="O348" s="72">
        <f>INDEX(Quelle_SMARD_Preise_2025!$C$11:$C$375, MATCH($A348,Quelle_SMARD_Preise_2025!$A$11:$A$375, 0))</f>
        <v>95.92</v>
      </c>
      <c r="P348" s="69">
        <f t="shared" si="55"/>
        <v>925.25569405213537</v>
      </c>
      <c r="Q348" s="69">
        <f t="shared" si="56"/>
        <v>487.64025370044419</v>
      </c>
      <c r="R348" s="73">
        <f>Annahmen!$B$9</f>
        <v>0.05</v>
      </c>
      <c r="S348" s="69">
        <f t="shared" si="57"/>
        <v>0.84730374913199213</v>
      </c>
      <c r="T348" s="69">
        <f t="shared" si="58"/>
        <v>0</v>
      </c>
      <c r="U348" s="74">
        <f>$O348+Annahmen!$B$10+(T348*Annahmen!$B$11)</f>
        <v>103.92</v>
      </c>
      <c r="V348" s="74">
        <f t="shared" si="51"/>
        <v>88.051805609796631</v>
      </c>
      <c r="W348" s="74">
        <f t="shared" si="59"/>
        <v>702.04199438080343</v>
      </c>
    </row>
    <row r="349" spans="1:23" x14ac:dyDescent="0.35">
      <c r="A349" s="70">
        <v>46005</v>
      </c>
      <c r="B349" s="71" t="str">
        <f t="shared" si="52"/>
        <v>So</v>
      </c>
      <c r="C349" s="69">
        <f t="shared" si="53"/>
        <v>12</v>
      </c>
      <c r="D349" s="69">
        <v>348</v>
      </c>
      <c r="E349" s="69" t="str">
        <f>IF(OR(COUNTIF(Feiertage_Hessen_2025!$C$4:$C$13,A349)&gt;0,WEEKDAY(A349,2)=7),"FT",IF(WEEKDAY(A349,2)=6,"SA","WT"))</f>
        <v>FT</v>
      </c>
      <c r="F349" s="69">
        <f>INDEX('BDEW-H25 Tagessummen'!$C$4:$C$39, MATCH(C349&amp;"_"&amp;E349, 'BDEW-H25 Tagessummen'!$D$4:$D$39, 0))</f>
        <v>2936.7459999999987</v>
      </c>
      <c r="G349" s="69">
        <f t="shared" si="50"/>
        <v>1.2062985441280003</v>
      </c>
      <c r="H349" s="69">
        <f>Tabelle1[[#This Row],[Profilwert (kWh)]]*Tabelle1[[#This Row],[Dynamisierungsfaktor]]</f>
        <v>3542.5924242737269</v>
      </c>
      <c r="I349" s="69">
        <f>Annahmen!$B$5*(H349/SUM($H$2:$H$366))</f>
        <v>17.720623596695635</v>
      </c>
      <c r="J349" s="69">
        <f>Annahmen!$B$6</f>
        <v>130</v>
      </c>
      <c r="K349" s="69">
        <f t="shared" si="54"/>
        <v>2303.6810675704323</v>
      </c>
      <c r="L349" s="69">
        <f>I349*Annahmen!$B$7</f>
        <v>12.404436517686944</v>
      </c>
      <c r="M349" s="69">
        <f>I349*(1-Annahmen!$B$7)</f>
        <v>5.3161870790086914</v>
      </c>
      <c r="N349" s="69">
        <f>Annahmen!$B$8</f>
        <v>78</v>
      </c>
      <c r="O349" s="72">
        <f>INDEX(Quelle_SMARD_Preise_2025!$C$11:$C$375, MATCH($A349,Quelle_SMARD_Preise_2025!$A$11:$A$375, 0))</f>
        <v>86.21</v>
      </c>
      <c r="P349" s="69">
        <f t="shared" si="55"/>
        <v>967.54604837958163</v>
      </c>
      <c r="Q349" s="69">
        <f t="shared" si="56"/>
        <v>458.30848808133925</v>
      </c>
      <c r="R349" s="73">
        <f>Annahmen!$B$9</f>
        <v>0.05</v>
      </c>
      <c r="S349" s="69">
        <f t="shared" si="57"/>
        <v>0.88603117983478175</v>
      </c>
      <c r="T349" s="69">
        <f t="shared" si="58"/>
        <v>1</v>
      </c>
      <c r="U349" s="74">
        <f>$O349+Annahmen!$B$10+(T349*Annahmen!$B$11)</f>
        <v>214.20999999999998</v>
      </c>
      <c r="V349" s="74">
        <f t="shared" si="51"/>
        <v>189.79673903240857</v>
      </c>
      <c r="W349" s="74">
        <f t="shared" si="59"/>
        <v>688.02979207710291</v>
      </c>
    </row>
    <row r="350" spans="1:23" x14ac:dyDescent="0.35">
      <c r="A350" s="70">
        <v>46006</v>
      </c>
      <c r="B350" s="71" t="str">
        <f t="shared" si="52"/>
        <v>Mo</v>
      </c>
      <c r="C350" s="69">
        <f t="shared" si="53"/>
        <v>12</v>
      </c>
      <c r="D350" s="69">
        <v>349</v>
      </c>
      <c r="E350" s="69" t="str">
        <f>IF(OR(COUNTIF(Feiertage_Hessen_2025!$C$4:$C$13,A350)&gt;0,WEEKDAY(A350,2)=7),"FT",IF(WEEKDAY(A350,2)=6,"SA","WT"))</f>
        <v>WT</v>
      </c>
      <c r="F350" s="69">
        <f>INDEX('BDEW-H25 Tagessummen'!$C$4:$C$39, MATCH(C350&amp;"_"&amp;E350, 'BDEW-H25 Tagessummen'!$D$4:$D$39, 0))</f>
        <v>2536.5189999999993</v>
      </c>
      <c r="G350" s="69">
        <f t="shared" si="50"/>
        <v>1.2096959084080012</v>
      </c>
      <c r="H350" s="69">
        <f>Tabelle1[[#This Row],[Profilwert (kWh)]]*Tabelle1[[#This Row],[Dynamisierungsfaktor]]</f>
        <v>3068.4166558991542</v>
      </c>
      <c r="I350" s="69">
        <f>Annahmen!$B$5*(H350/SUM($H$2:$H$366))</f>
        <v>15.348719266842508</v>
      </c>
      <c r="J350" s="69">
        <f>Annahmen!$B$6</f>
        <v>130</v>
      </c>
      <c r="K350" s="69">
        <f t="shared" si="54"/>
        <v>1995.3335046895261</v>
      </c>
      <c r="L350" s="69">
        <f>I350*Annahmen!$B$7</f>
        <v>10.744103486789754</v>
      </c>
      <c r="M350" s="69">
        <f>I350*(1-Annahmen!$B$7)</f>
        <v>4.604615780052753</v>
      </c>
      <c r="N350" s="69">
        <f>Annahmen!$B$8</f>
        <v>78</v>
      </c>
      <c r="O350" s="72">
        <f>INDEX(Quelle_SMARD_Preise_2025!$C$11:$C$375, MATCH($A350,Quelle_SMARD_Preise_2025!$A$11:$A$375, 0))</f>
        <v>87.4</v>
      </c>
      <c r="P350" s="69">
        <f t="shared" si="55"/>
        <v>838.04007196960083</v>
      </c>
      <c r="Q350" s="69">
        <f t="shared" si="56"/>
        <v>402.44341917661063</v>
      </c>
      <c r="R350" s="73">
        <f>Annahmen!$B$9</f>
        <v>0.05</v>
      </c>
      <c r="S350" s="69">
        <f t="shared" si="57"/>
        <v>0.76743596334212549</v>
      </c>
      <c r="T350" s="69">
        <f t="shared" si="58"/>
        <v>0</v>
      </c>
      <c r="U350" s="74">
        <f>$O350+Annahmen!$B$10+(T350*Annahmen!$B$11)</f>
        <v>95.4</v>
      </c>
      <c r="V350" s="74">
        <f t="shared" si="51"/>
        <v>73.213390902838782</v>
      </c>
      <c r="W350" s="74">
        <f t="shared" si="59"/>
        <v>681.63662264047582</v>
      </c>
    </row>
    <row r="351" spans="1:23" x14ac:dyDescent="0.35">
      <c r="A351" s="70">
        <v>46007</v>
      </c>
      <c r="B351" s="71" t="str">
        <f t="shared" si="52"/>
        <v>Di</v>
      </c>
      <c r="C351" s="69">
        <f t="shared" si="53"/>
        <v>12</v>
      </c>
      <c r="D351" s="69">
        <v>350</v>
      </c>
      <c r="E351" s="69" t="str">
        <f>IF(OR(COUNTIF(Feiertage_Hessen_2025!$C$4:$C$13,A351)&gt;0,WEEKDAY(A351,2)=7),"FT",IF(WEEKDAY(A351,2)=6,"SA","WT"))</f>
        <v>WT</v>
      </c>
      <c r="F351" s="69">
        <f>INDEX('BDEW-H25 Tagessummen'!$C$4:$C$39, MATCH(C351&amp;"_"&amp;E351, 'BDEW-H25 Tagessummen'!$D$4:$D$39, 0))</f>
        <v>2536.5189999999993</v>
      </c>
      <c r="G351" s="69">
        <f t="shared" si="50"/>
        <v>1.2130500000000022</v>
      </c>
      <c r="H351" s="69">
        <f>Tabelle1[[#This Row],[Profilwert (kWh)]]*Tabelle1[[#This Row],[Dynamisierungsfaktor]]</f>
        <v>3076.9243729500049</v>
      </c>
      <c r="I351" s="69">
        <f>Annahmen!$B$5*(H351/SUM($H$2:$H$366))</f>
        <v>15.391276251521948</v>
      </c>
      <c r="J351" s="69">
        <f>Annahmen!$B$6</f>
        <v>130</v>
      </c>
      <c r="K351" s="69">
        <f t="shared" si="54"/>
        <v>2000.8659126978532</v>
      </c>
      <c r="L351" s="69">
        <f>I351*Annahmen!$B$7</f>
        <v>10.773893376065363</v>
      </c>
      <c r="M351" s="69">
        <f>I351*(1-Annahmen!$B$7)</f>
        <v>4.6173828754565847</v>
      </c>
      <c r="N351" s="69">
        <f>Annahmen!$B$8</f>
        <v>78</v>
      </c>
      <c r="O351" s="72">
        <f>INDEX(Quelle_SMARD_Preise_2025!$C$11:$C$375, MATCH($A351,Quelle_SMARD_Preise_2025!$A$11:$A$375, 0))</f>
        <v>106.74</v>
      </c>
      <c r="P351" s="69">
        <f t="shared" si="55"/>
        <v>840.36368333309827</v>
      </c>
      <c r="Q351" s="69">
        <f t="shared" si="56"/>
        <v>492.8594481262358</v>
      </c>
      <c r="R351" s="73">
        <f>Annahmen!$B$9</f>
        <v>0.05</v>
      </c>
      <c r="S351" s="69">
        <f t="shared" si="57"/>
        <v>0.76956381257609741</v>
      </c>
      <c r="T351" s="69">
        <f t="shared" si="58"/>
        <v>0</v>
      </c>
      <c r="U351" s="74">
        <f>$O351+Annahmen!$B$10+(T351*Annahmen!$B$11)</f>
        <v>114.74</v>
      </c>
      <c r="V351" s="74">
        <f t="shared" si="51"/>
        <v>88.299751854981409</v>
      </c>
      <c r="W351" s="74">
        <f t="shared" si="59"/>
        <v>579.34302938353767</v>
      </c>
    </row>
    <row r="352" spans="1:23" x14ac:dyDescent="0.35">
      <c r="A352" s="70">
        <v>46008</v>
      </c>
      <c r="B352" s="71" t="str">
        <f t="shared" si="52"/>
        <v>Mi</v>
      </c>
      <c r="C352" s="69">
        <f t="shared" si="53"/>
        <v>12</v>
      </c>
      <c r="D352" s="69">
        <v>351</v>
      </c>
      <c r="E352" s="69" t="str">
        <f>IF(OR(COUNTIF(Feiertage_Hessen_2025!$C$4:$C$13,A352)&gt;0,WEEKDAY(A352,2)=7),"FT",IF(WEEKDAY(A352,2)=6,"SA","WT"))</f>
        <v>WT</v>
      </c>
      <c r="F352" s="69">
        <f>INDEX('BDEW-H25 Tagessummen'!$C$4:$C$39, MATCH(C352&amp;"_"&amp;E352, 'BDEW-H25 Tagessummen'!$D$4:$D$39, 0))</f>
        <v>2536.5189999999993</v>
      </c>
      <c r="G352" s="69">
        <f t="shared" si="50"/>
        <v>1.2163594508080013</v>
      </c>
      <c r="H352" s="69">
        <f>Tabelle1[[#This Row],[Profilwert (kWh)]]*Tabelle1[[#This Row],[Dynamisierungsfaktor]]</f>
        <v>3085.3188578040599</v>
      </c>
      <c r="I352" s="69">
        <f>Annahmen!$B$5*(H352/SUM($H$2:$H$366))</f>
        <v>15.43326683033299</v>
      </c>
      <c r="J352" s="69">
        <f>Annahmen!$B$6</f>
        <v>130</v>
      </c>
      <c r="K352" s="69">
        <f t="shared" si="54"/>
        <v>2006.3246879432886</v>
      </c>
      <c r="L352" s="69">
        <f>I352*Annahmen!$B$7</f>
        <v>10.803286781233092</v>
      </c>
      <c r="M352" s="69">
        <f>I352*(1-Annahmen!$B$7)</f>
        <v>4.6299800490998972</v>
      </c>
      <c r="N352" s="69">
        <f>Annahmen!$B$8</f>
        <v>78</v>
      </c>
      <c r="O352" s="72">
        <f>INDEX(Quelle_SMARD_Preise_2025!$C$11:$C$375, MATCH($A352,Quelle_SMARD_Preise_2025!$A$11:$A$375, 0))</f>
        <v>106.4</v>
      </c>
      <c r="P352" s="69">
        <f t="shared" si="55"/>
        <v>842.65636893618125</v>
      </c>
      <c r="Q352" s="69">
        <f t="shared" si="56"/>
        <v>492.62987722422912</v>
      </c>
      <c r="R352" s="73">
        <f>Annahmen!$B$9</f>
        <v>0.05</v>
      </c>
      <c r="S352" s="69">
        <f t="shared" si="57"/>
        <v>0.7716633415166495</v>
      </c>
      <c r="T352" s="69">
        <f t="shared" si="58"/>
        <v>0</v>
      </c>
      <c r="U352" s="74">
        <f>$O352+Annahmen!$B$10+(T352*Annahmen!$B$11)</f>
        <v>114.4</v>
      </c>
      <c r="V352" s="74">
        <f t="shared" si="51"/>
        <v>88.278286269504704</v>
      </c>
      <c r="W352" s="74">
        <f t="shared" si="59"/>
        <v>582.76015551337343</v>
      </c>
    </row>
    <row r="353" spans="1:24" x14ac:dyDescent="0.35">
      <c r="A353" s="70">
        <v>46009</v>
      </c>
      <c r="B353" s="71" t="str">
        <f t="shared" si="52"/>
        <v>Do</v>
      </c>
      <c r="C353" s="69">
        <f t="shared" si="53"/>
        <v>12</v>
      </c>
      <c r="D353" s="69">
        <v>352</v>
      </c>
      <c r="E353" s="69" t="str">
        <f>IF(OR(COUNTIF(Feiertage_Hessen_2025!$C$4:$C$13,A353)&gt;0,WEEKDAY(A353,2)=7),"FT",IF(WEEKDAY(A353,2)=6,"SA","WT"))</f>
        <v>WT</v>
      </c>
      <c r="F353" s="69">
        <f>INDEX('BDEW-H25 Tagessummen'!$C$4:$C$39, MATCH(C353&amp;"_"&amp;E353, 'BDEW-H25 Tagessummen'!$D$4:$D$39, 0))</f>
        <v>2536.5189999999993</v>
      </c>
      <c r="G353" s="69">
        <f t="shared" si="50"/>
        <v>1.2196228833279998</v>
      </c>
      <c r="H353" s="69">
        <f>Tabelle1[[#This Row],[Profilwert (kWh)]]*Tabelle1[[#This Row],[Dynamisierungsfaktor]]</f>
        <v>3093.5966163962539</v>
      </c>
      <c r="I353" s="69">
        <f>Annahmen!$B$5*(H353/SUM($H$2:$H$366))</f>
        <v>15.474673525393785</v>
      </c>
      <c r="J353" s="69">
        <f>Annahmen!$B$6</f>
        <v>130</v>
      </c>
      <c r="K353" s="69">
        <f t="shared" si="54"/>
        <v>2011.707558301192</v>
      </c>
      <c r="L353" s="69">
        <f>I353*Annahmen!$B$7</f>
        <v>10.832271467775648</v>
      </c>
      <c r="M353" s="69">
        <f>I353*(1-Annahmen!$B$7)</f>
        <v>4.6424020576181357</v>
      </c>
      <c r="N353" s="69">
        <f>Annahmen!$B$8</f>
        <v>78</v>
      </c>
      <c r="O353" s="72">
        <f>INDEX(Quelle_SMARD_Preise_2025!$C$11:$C$375, MATCH($A353,Quelle_SMARD_Preise_2025!$A$11:$A$375, 0))</f>
        <v>74.22</v>
      </c>
      <c r="P353" s="69">
        <f t="shared" si="55"/>
        <v>844.91717448650058</v>
      </c>
      <c r="Q353" s="69">
        <f t="shared" si="56"/>
        <v>344.55908071641801</v>
      </c>
      <c r="R353" s="73">
        <f>Annahmen!$B$9</f>
        <v>0.05</v>
      </c>
      <c r="S353" s="69">
        <f t="shared" si="57"/>
        <v>0.77373367626968925</v>
      </c>
      <c r="T353" s="69">
        <f t="shared" si="58"/>
        <v>0</v>
      </c>
      <c r="U353" s="74">
        <f>$O353+Annahmen!$B$10+(T353*Annahmen!$B$11)</f>
        <v>82.22</v>
      </c>
      <c r="V353" s="74">
        <f t="shared" si="51"/>
        <v>63.61638286289385</v>
      </c>
      <c r="W353" s="74">
        <f t="shared" si="59"/>
        <v>758.61492023537937</v>
      </c>
    </row>
    <row r="354" spans="1:24" x14ac:dyDescent="0.35">
      <c r="A354" s="70">
        <v>46010</v>
      </c>
      <c r="B354" s="71" t="str">
        <f t="shared" si="52"/>
        <v>Fr</v>
      </c>
      <c r="C354" s="69">
        <f t="shared" si="53"/>
        <v>12</v>
      </c>
      <c r="D354" s="69">
        <v>353</v>
      </c>
      <c r="E354" s="69" t="str">
        <f>IF(OR(COUNTIF(Feiertage_Hessen_2025!$C$4:$C$13,A354)&gt;0,WEEKDAY(A354,2)=7),"FT",IF(WEEKDAY(A354,2)=6,"SA","WT"))</f>
        <v>WT</v>
      </c>
      <c r="F354" s="69">
        <f>INDEX('BDEW-H25 Tagessummen'!$C$4:$C$39, MATCH(C354&amp;"_"&amp;E354, 'BDEW-H25 Tagessummen'!$D$4:$D$39, 0))</f>
        <v>2536.5189999999993</v>
      </c>
      <c r="G354" s="69">
        <f t="shared" si="50"/>
        <v>1.222838910648</v>
      </c>
      <c r="H354" s="69">
        <f>Tabelle1[[#This Row],[Profilwert (kWh)]]*Tabelle1[[#This Row],[Dynamisierungsfaktor]]</f>
        <v>3101.7541307979536</v>
      </c>
      <c r="I354" s="69">
        <f>Annahmen!$B$5*(H354/SUM($H$2:$H$366))</f>
        <v>15.51547873945303</v>
      </c>
      <c r="J354" s="69">
        <f>Annahmen!$B$6</f>
        <v>130</v>
      </c>
      <c r="K354" s="69">
        <f t="shared" si="54"/>
        <v>2017.0122361288938</v>
      </c>
      <c r="L354" s="69">
        <f>I354*Annahmen!$B$7</f>
        <v>10.860835117617121</v>
      </c>
      <c r="M354" s="69">
        <f>I354*(1-Annahmen!$B$7)</f>
        <v>4.65464362183591</v>
      </c>
      <c r="N354" s="69">
        <f>Annahmen!$B$8</f>
        <v>78</v>
      </c>
      <c r="O354" s="72">
        <f>INDEX(Quelle_SMARD_Preise_2025!$C$11:$C$375, MATCH($A354,Quelle_SMARD_Preise_2025!$A$11:$A$375, 0))</f>
        <v>70.069999999999993</v>
      </c>
      <c r="P354" s="69">
        <f t="shared" si="55"/>
        <v>847.14513917413547</v>
      </c>
      <c r="Q354" s="69">
        <f t="shared" si="56"/>
        <v>326.1508785820422</v>
      </c>
      <c r="R354" s="73">
        <f>Annahmen!$B$9</f>
        <v>0.05</v>
      </c>
      <c r="S354" s="69">
        <f t="shared" si="57"/>
        <v>0.77577393697265151</v>
      </c>
      <c r="T354" s="69">
        <f t="shared" si="58"/>
        <v>0</v>
      </c>
      <c r="U354" s="74">
        <f>$O354+Annahmen!$B$10+(T354*Annahmen!$B$11)</f>
        <v>78.069999999999993</v>
      </c>
      <c r="V354" s="74">
        <f t="shared" si="51"/>
        <v>60.564671259454897</v>
      </c>
      <c r="W354" s="74">
        <f t="shared" si="59"/>
        <v>783.15154711326124</v>
      </c>
    </row>
    <row r="355" spans="1:24" x14ac:dyDescent="0.35">
      <c r="A355" s="70">
        <v>46011</v>
      </c>
      <c r="B355" s="71" t="str">
        <f t="shared" si="52"/>
        <v>Sa</v>
      </c>
      <c r="C355" s="69">
        <f t="shared" si="53"/>
        <v>12</v>
      </c>
      <c r="D355" s="69">
        <v>354</v>
      </c>
      <c r="E355" s="69" t="str">
        <f>IF(OR(COUNTIF(Feiertage_Hessen_2025!$C$4:$C$13,A355)&gt;0,WEEKDAY(A355,2)=7),"FT",IF(WEEKDAY(A355,2)=6,"SA","WT"))</f>
        <v>SA</v>
      </c>
      <c r="F355" s="69">
        <f>INDEX('BDEW-H25 Tagessummen'!$C$4:$C$39, MATCH(C355&amp;"_"&amp;E355, 'BDEW-H25 Tagessummen'!$D$4:$D$39, 0))</f>
        <v>2816.4139999999993</v>
      </c>
      <c r="G355" s="69">
        <f t="shared" si="50"/>
        <v>1.2260061364479999</v>
      </c>
      <c r="H355" s="69">
        <f>Tabelle1[[#This Row],[Profilwert (kWh)]]*Tabelle1[[#This Row],[Dynamisierungsfaktor]]</f>
        <v>3452.9408467780563</v>
      </c>
      <c r="I355" s="69">
        <f>Annahmen!$B$5*(H355/SUM($H$2:$H$366))</f>
        <v>17.272171822010751</v>
      </c>
      <c r="J355" s="69">
        <f>Annahmen!$B$6</f>
        <v>130</v>
      </c>
      <c r="K355" s="69">
        <f t="shared" si="54"/>
        <v>2245.3823368613976</v>
      </c>
      <c r="L355" s="69">
        <f>I355*Annahmen!$B$7</f>
        <v>12.090520275407526</v>
      </c>
      <c r="M355" s="69">
        <f>I355*(1-Annahmen!$B$7)</f>
        <v>5.1816515466032262</v>
      </c>
      <c r="N355" s="69">
        <f>Annahmen!$B$8</f>
        <v>78</v>
      </c>
      <c r="O355" s="72">
        <f>INDEX(Quelle_SMARD_Preise_2025!$C$11:$C$375, MATCH($A355,Quelle_SMARD_Preise_2025!$A$11:$A$375, 0))</f>
        <v>103.06</v>
      </c>
      <c r="P355" s="69">
        <f t="shared" si="55"/>
        <v>943.06058148178704</v>
      </c>
      <c r="Q355" s="69">
        <f t="shared" si="56"/>
        <v>534.02100839292848</v>
      </c>
      <c r="R355" s="73">
        <f>Annahmen!$B$9</f>
        <v>0.05</v>
      </c>
      <c r="S355" s="69">
        <f t="shared" si="57"/>
        <v>0.86360859110053756</v>
      </c>
      <c r="T355" s="69">
        <f t="shared" si="58"/>
        <v>0</v>
      </c>
      <c r="U355" s="74">
        <f>$O355+Annahmen!$B$10+(T355*Annahmen!$B$11)</f>
        <v>111.06</v>
      </c>
      <c r="V355" s="74">
        <f t="shared" si="51"/>
        <v>95.912370127625707</v>
      </c>
      <c r="W355" s="74">
        <f t="shared" si="59"/>
        <v>672.38837685905628</v>
      </c>
    </row>
    <row r="356" spans="1:24" x14ac:dyDescent="0.35">
      <c r="A356" s="70">
        <v>46012</v>
      </c>
      <c r="B356" s="71" t="str">
        <f t="shared" si="52"/>
        <v>So</v>
      </c>
      <c r="C356" s="69">
        <f t="shared" si="53"/>
        <v>12</v>
      </c>
      <c r="D356" s="69">
        <v>355</v>
      </c>
      <c r="E356" s="69" t="str">
        <f>IF(OR(COUNTIF(Feiertage_Hessen_2025!$C$4:$C$13,A356)&gt;0,WEEKDAY(A356,2)=7),"FT",IF(WEEKDAY(A356,2)=6,"SA","WT"))</f>
        <v>FT</v>
      </c>
      <c r="F356" s="69">
        <f>INDEX('BDEW-H25 Tagessummen'!$C$4:$C$39, MATCH(C356&amp;"_"&amp;E356, 'BDEW-H25 Tagessummen'!$D$4:$D$39, 0))</f>
        <v>2936.7459999999987</v>
      </c>
      <c r="G356" s="69">
        <f t="shared" si="50"/>
        <v>1.2291231549999999</v>
      </c>
      <c r="H356" s="69">
        <f>Tabelle1[[#This Row],[Profilwert (kWh)]]*Tabelle1[[#This Row],[Dynamisierungsfaktor]]</f>
        <v>3609.6225089536283</v>
      </c>
      <c r="I356" s="69">
        <f>Annahmen!$B$5*(H356/SUM($H$2:$H$366))</f>
        <v>18.055918984369445</v>
      </c>
      <c r="J356" s="69">
        <f>Annahmen!$B$6</f>
        <v>130</v>
      </c>
      <c r="K356" s="69">
        <f t="shared" si="54"/>
        <v>2347.269467968028</v>
      </c>
      <c r="L356" s="69">
        <f>I356*Annahmen!$B$7</f>
        <v>12.639143289058611</v>
      </c>
      <c r="M356" s="69">
        <f>I356*(1-Annahmen!$B$7)</f>
        <v>5.4167756953108341</v>
      </c>
      <c r="N356" s="69">
        <f>Annahmen!$B$8</f>
        <v>78</v>
      </c>
      <c r="O356" s="72">
        <f>INDEX(Quelle_SMARD_Preise_2025!$C$11:$C$375, MATCH($A356,Quelle_SMARD_Preise_2025!$A$11:$A$375, 0))</f>
        <v>91.57</v>
      </c>
      <c r="P356" s="69">
        <f t="shared" si="55"/>
        <v>985.8531765465716</v>
      </c>
      <c r="Q356" s="69">
        <f t="shared" si="56"/>
        <v>496.01415041961303</v>
      </c>
      <c r="R356" s="73">
        <f>Annahmen!$B$9</f>
        <v>0.05</v>
      </c>
      <c r="S356" s="69">
        <f t="shared" si="57"/>
        <v>0.90279594921847228</v>
      </c>
      <c r="T356" s="69">
        <f t="shared" si="58"/>
        <v>1</v>
      </c>
      <c r="U356" s="74">
        <f>$O356+Annahmen!$B$10+(T356*Annahmen!$B$11)</f>
        <v>219.57</v>
      </c>
      <c r="V356" s="74">
        <f t="shared" si="51"/>
        <v>198.22690656989997</v>
      </c>
      <c r="W356" s="74">
        <f t="shared" si="59"/>
        <v>667.17523443194341</v>
      </c>
    </row>
    <row r="357" spans="1:24" x14ac:dyDescent="0.35">
      <c r="A357" s="70">
        <v>46013</v>
      </c>
      <c r="B357" s="71" t="str">
        <f t="shared" si="52"/>
        <v>Mo</v>
      </c>
      <c r="C357" s="69">
        <f t="shared" si="53"/>
        <v>12</v>
      </c>
      <c r="D357" s="69">
        <v>356</v>
      </c>
      <c r="E357" s="69" t="str">
        <f>IF(OR(COUNTIF(Feiertage_Hessen_2025!$C$4:$C$13,A357)&gt;0,WEEKDAY(A357,2)=7),"FT",IF(WEEKDAY(A357,2)=6,"SA","WT"))</f>
        <v>WT</v>
      </c>
      <c r="F357" s="69">
        <f>INDEX('BDEW-H25 Tagessummen'!$C$4:$C$39, MATCH(C357&amp;"_"&amp;E357, 'BDEW-H25 Tagessummen'!$D$4:$D$39, 0))</f>
        <v>2536.5189999999993</v>
      </c>
      <c r="G357" s="69">
        <f t="shared" si="50"/>
        <v>1.2321885511680004</v>
      </c>
      <c r="H357" s="69">
        <f>Tabelle1[[#This Row],[Profilwert (kWh)]]*Tabelle1[[#This Row],[Dynamisierungsfaktor]]</f>
        <v>3125.4696716201042</v>
      </c>
      <c r="I357" s="69">
        <f>Annahmen!$B$5*(H357/SUM($H$2:$H$366))</f>
        <v>15.634107732566047</v>
      </c>
      <c r="J357" s="69">
        <f>Annahmen!$B$6</f>
        <v>130</v>
      </c>
      <c r="K357" s="69">
        <f t="shared" si="54"/>
        <v>2032.434005233586</v>
      </c>
      <c r="L357" s="69">
        <f>I357*Annahmen!$B$7</f>
        <v>10.943875412796233</v>
      </c>
      <c r="M357" s="69">
        <f>I357*(1-Annahmen!$B$7)</f>
        <v>4.690232319769815</v>
      </c>
      <c r="N357" s="69">
        <f>Annahmen!$B$8</f>
        <v>78</v>
      </c>
      <c r="O357" s="72">
        <f>INDEX(Quelle_SMARD_Preise_2025!$C$11:$C$375, MATCH($A357,Quelle_SMARD_Preise_2025!$A$11:$A$375, 0))</f>
        <v>85.55</v>
      </c>
      <c r="P357" s="69">
        <f t="shared" si="55"/>
        <v>853.62228219810618</v>
      </c>
      <c r="Q357" s="69">
        <f t="shared" si="56"/>
        <v>401.24937495630769</v>
      </c>
      <c r="R357" s="73">
        <f>Annahmen!$B$9</f>
        <v>0.05</v>
      </c>
      <c r="S357" s="69">
        <f t="shared" si="57"/>
        <v>0.78170538662830236</v>
      </c>
      <c r="T357" s="69">
        <f t="shared" si="58"/>
        <v>0</v>
      </c>
      <c r="U357" s="74">
        <f>$O357+Annahmen!$B$10+(T357*Annahmen!$B$11)</f>
        <v>93.55</v>
      </c>
      <c r="V357" s="74">
        <f t="shared" si="51"/>
        <v>73.128538919077684</v>
      </c>
      <c r="W357" s="74">
        <f t="shared" si="59"/>
        <v>704.43380916009448</v>
      </c>
    </row>
    <row r="358" spans="1:24" x14ac:dyDescent="0.35">
      <c r="A358" s="70">
        <v>46014</v>
      </c>
      <c r="B358" s="71" t="str">
        <f t="shared" si="52"/>
        <v>Di</v>
      </c>
      <c r="C358" s="69">
        <f t="shared" si="53"/>
        <v>12</v>
      </c>
      <c r="D358" s="69">
        <v>357</v>
      </c>
      <c r="E358" s="69" t="str">
        <f>IF(OR(COUNTIF(Feiertage_Hessen_2025!$C$4:$C$13,A358)&gt;0,WEEKDAY(A358,2)=7),"FT",IF(WEEKDAY(A358,2)=6,"SA","WT"))</f>
        <v>WT</v>
      </c>
      <c r="F358" s="69">
        <f>INDEX('BDEW-H25 Tagessummen'!$C$4:$C$39, MATCH(C358&amp;"_"&amp;E358, 'BDEW-H25 Tagessummen'!$D$4:$D$39, 0))</f>
        <v>2536.5189999999993</v>
      </c>
      <c r="G358" s="69">
        <f t="shared" si="50"/>
        <v>1.2352009004080005</v>
      </c>
      <c r="H358" s="69">
        <f>Tabelle1[[#This Row],[Profilwert (kWh)]]*Tabelle1[[#This Row],[Dynamisierungsfaktor]]</f>
        <v>3133.1105527019999</v>
      </c>
      <c r="I358" s="69">
        <f>Annahmen!$B$5*(H358/SUM($H$2:$H$366))</f>
        <v>15.672328662716414</v>
      </c>
      <c r="J358" s="69">
        <f>Annahmen!$B$6</f>
        <v>130</v>
      </c>
      <c r="K358" s="69">
        <f t="shared" si="54"/>
        <v>2037.4027261531337</v>
      </c>
      <c r="L358" s="69">
        <f>I358*Annahmen!$B$7</f>
        <v>10.970630063901488</v>
      </c>
      <c r="M358" s="69">
        <f>I358*(1-Annahmen!$B$7)</f>
        <v>4.7016985988149251</v>
      </c>
      <c r="N358" s="69">
        <f>Annahmen!$B$8</f>
        <v>78</v>
      </c>
      <c r="O358" s="72">
        <f>INDEX(Quelle_SMARD_Preise_2025!$C$11:$C$375, MATCH($A358,Quelle_SMARD_Preise_2025!$A$11:$A$375, 0))</f>
        <v>74.73</v>
      </c>
      <c r="P358" s="69">
        <f t="shared" si="55"/>
        <v>855.70914498431614</v>
      </c>
      <c r="Q358" s="69">
        <f t="shared" si="56"/>
        <v>351.35793628943935</v>
      </c>
      <c r="R358" s="73">
        <f>Annahmen!$B$9</f>
        <v>0.05</v>
      </c>
      <c r="S358" s="69">
        <f t="shared" si="57"/>
        <v>0.78361643313582074</v>
      </c>
      <c r="T358" s="69">
        <f t="shared" si="58"/>
        <v>0</v>
      </c>
      <c r="U358" s="74">
        <f>$O358+Annahmen!$B$10+(T358*Annahmen!$B$11)</f>
        <v>82.73</v>
      </c>
      <c r="V358" s="74">
        <f t="shared" si="51"/>
        <v>64.828587513326454</v>
      </c>
      <c r="W358" s="74">
        <f t="shared" si="59"/>
        <v>765.50705736605187</v>
      </c>
    </row>
    <row r="359" spans="1:24" x14ac:dyDescent="0.35">
      <c r="A359" s="70">
        <v>46015</v>
      </c>
      <c r="B359" s="71" t="str">
        <f t="shared" si="52"/>
        <v>Mi</v>
      </c>
      <c r="C359" s="69">
        <f t="shared" si="53"/>
        <v>12</v>
      </c>
      <c r="D359" s="69">
        <v>358</v>
      </c>
      <c r="E359" s="69" t="str">
        <f>IF(OR(COUNTIF(Feiertage_Hessen_2025!$C$4:$C$13,A359)&gt;0,WEEKDAY(A359,2)=7),"FT",IF(WEEKDAY(A359,2)=6,"SA","WT"))</f>
        <v>WT</v>
      </c>
      <c r="F359" s="69">
        <f>INDEX('BDEW-H25 Tagessummen'!$C$4:$C$39, MATCH(C359&amp;"_"&amp;E359, 'BDEW-H25 Tagessummen'!$D$4:$D$39, 0))</f>
        <v>2536.5189999999993</v>
      </c>
      <c r="G359" s="69">
        <f t="shared" si="50"/>
        <v>1.2381587687680011</v>
      </c>
      <c r="H359" s="69">
        <f>Tabelle1[[#This Row],[Profilwert (kWh)]]*Tabelle1[[#This Row],[Dynamisierungsfaktor]]</f>
        <v>3140.6132419966407</v>
      </c>
      <c r="I359" s="69">
        <f>Annahmen!$B$5*(H359/SUM($H$2:$H$366))</f>
        <v>15.709858335066613</v>
      </c>
      <c r="J359" s="69">
        <f>Annahmen!$B$6</f>
        <v>130</v>
      </c>
      <c r="K359" s="69">
        <f t="shared" si="54"/>
        <v>2042.2815835586598</v>
      </c>
      <c r="L359" s="69">
        <f>I359*Annahmen!$B$7</f>
        <v>10.996900834546629</v>
      </c>
      <c r="M359" s="69">
        <f>I359*(1-Annahmen!$B$7)</f>
        <v>4.7129575005199849</v>
      </c>
      <c r="N359" s="69">
        <f>Annahmen!$B$8</f>
        <v>78</v>
      </c>
      <c r="O359" s="72">
        <f>INDEX(Quelle_SMARD_Preise_2025!$C$11:$C$375, MATCH($A359,Quelle_SMARD_Preise_2025!$A$11:$A$375, 0))</f>
        <v>69.38</v>
      </c>
      <c r="P359" s="69">
        <f t="shared" si="55"/>
        <v>857.75826509463707</v>
      </c>
      <c r="Q359" s="69">
        <f t="shared" si="56"/>
        <v>326.9849913860765</v>
      </c>
      <c r="R359" s="73">
        <f>Annahmen!$B$9</f>
        <v>0.05</v>
      </c>
      <c r="S359" s="69">
        <f t="shared" si="57"/>
        <v>0.78549291675333066</v>
      </c>
      <c r="T359" s="69">
        <f t="shared" si="58"/>
        <v>0</v>
      </c>
      <c r="U359" s="74">
        <f>$O359+Annahmen!$B$10+(T359*Annahmen!$B$11)</f>
        <v>77.38</v>
      </c>
      <c r="V359" s="74">
        <f t="shared" si="51"/>
        <v>60.781441898372726</v>
      </c>
      <c r="W359" s="74">
        <f t="shared" si="59"/>
        <v>796.75688517957371</v>
      </c>
    </row>
    <row r="360" spans="1:24" x14ac:dyDescent="0.35">
      <c r="A360" s="70">
        <v>46016</v>
      </c>
      <c r="B360" s="71" t="str">
        <f t="shared" si="52"/>
        <v>Do</v>
      </c>
      <c r="C360" s="69">
        <f t="shared" si="53"/>
        <v>12</v>
      </c>
      <c r="D360" s="69">
        <v>359</v>
      </c>
      <c r="E360" s="69" t="str">
        <f>IF(OR(COUNTIF(Feiertage_Hessen_2025!$C$4:$C$13,A360)&gt;0,WEEKDAY(A360,2)=7),"FT",IF(WEEKDAY(A360,2)=6,"SA","WT"))</f>
        <v>FT</v>
      </c>
      <c r="F360" s="69">
        <f>INDEX('BDEW-H25 Tagessummen'!$C$4:$C$39, MATCH(C360&amp;"_"&amp;E360, 'BDEW-H25 Tagessummen'!$D$4:$D$39, 0))</f>
        <v>2936.7459999999987</v>
      </c>
      <c r="G360" s="69">
        <f t="shared" si="50"/>
        <v>1.2410607128880002</v>
      </c>
      <c r="H360" s="69">
        <f>Tabelle1[[#This Row],[Profilwert (kWh)]]*Tabelle1[[#This Row],[Dynamisierungsfaktor]]</f>
        <v>3644.6800843309816</v>
      </c>
      <c r="I360" s="69">
        <f>Annahmen!$B$5*(H360/SUM($H$2:$H$366))</f>
        <v>18.231282679390677</v>
      </c>
      <c r="J360" s="69">
        <f>Annahmen!$B$6</f>
        <v>130</v>
      </c>
      <c r="K360" s="69">
        <f t="shared" si="54"/>
        <v>2370.0667483207881</v>
      </c>
      <c r="L360" s="69">
        <f>I360*Annahmen!$B$7</f>
        <v>12.761897875573473</v>
      </c>
      <c r="M360" s="69">
        <f>I360*(1-Annahmen!$B$7)</f>
        <v>5.4693848038172037</v>
      </c>
      <c r="N360" s="69">
        <f>Annahmen!$B$8</f>
        <v>78</v>
      </c>
      <c r="O360" s="72">
        <f>INDEX(Quelle_SMARD_Preise_2025!$C$11:$C$375, MATCH($A360,Quelle_SMARD_Preise_2025!$A$11:$A$375, 0))</f>
        <v>69.75</v>
      </c>
      <c r="P360" s="69">
        <f t="shared" si="55"/>
        <v>995.42803429473088</v>
      </c>
      <c r="Q360" s="69">
        <f t="shared" si="56"/>
        <v>381.48959006624995</v>
      </c>
      <c r="R360" s="73">
        <f>Annahmen!$B$9</f>
        <v>0.05</v>
      </c>
      <c r="S360" s="69">
        <f t="shared" si="57"/>
        <v>0.91156413396953395</v>
      </c>
      <c r="T360" s="69">
        <f t="shared" si="58"/>
        <v>1</v>
      </c>
      <c r="U360" s="74">
        <f>$O360+Annahmen!$B$10+(T360*Annahmen!$B$11)</f>
        <v>197.75</v>
      </c>
      <c r="V360" s="74">
        <f t="shared" si="51"/>
        <v>180.26180749247533</v>
      </c>
      <c r="W360" s="74">
        <f t="shared" si="59"/>
        <v>812.88731646733186</v>
      </c>
    </row>
    <row r="361" spans="1:24" x14ac:dyDescent="0.35">
      <c r="A361" s="70">
        <v>46017</v>
      </c>
      <c r="B361" s="71" t="str">
        <f t="shared" si="52"/>
        <v>Fr</v>
      </c>
      <c r="C361" s="69">
        <f t="shared" si="53"/>
        <v>12</v>
      </c>
      <c r="D361" s="69">
        <v>360</v>
      </c>
      <c r="E361" s="69" t="str">
        <f>IF(OR(COUNTIF(Feiertage_Hessen_2025!$C$4:$C$13,A361)&gt;0,WEEKDAY(A361,2)=7),"FT",IF(WEEKDAY(A361,2)=6,"SA","WT"))</f>
        <v>FT</v>
      </c>
      <c r="F361" s="69">
        <f>INDEX('BDEW-H25 Tagessummen'!$C$4:$C$39, MATCH(C361&amp;"_"&amp;E361, 'BDEW-H25 Tagessummen'!$D$4:$D$39, 0))</f>
        <v>2936.7459999999987</v>
      </c>
      <c r="G361" s="69">
        <f t="shared" si="50"/>
        <v>1.2439052800000012</v>
      </c>
      <c r="H361" s="69">
        <f>Tabelle1[[#This Row],[Profilwert (kWh)]]*Tabelle1[[#This Row],[Dynamisierungsfaktor]]</f>
        <v>3653.033855418882</v>
      </c>
      <c r="I361" s="69">
        <f>Annahmen!$B$5*(H361/SUM($H$2:$H$366))</f>
        <v>18.273069601320312</v>
      </c>
      <c r="J361" s="69">
        <f>Annahmen!$B$6</f>
        <v>130</v>
      </c>
      <c r="K361" s="69">
        <f t="shared" si="54"/>
        <v>2375.4990481716404</v>
      </c>
      <c r="L361" s="69">
        <f>I361*Annahmen!$B$7</f>
        <v>12.791148720924218</v>
      </c>
      <c r="M361" s="69">
        <f>I361*(1-Annahmen!$B$7)</f>
        <v>5.4819208803960944</v>
      </c>
      <c r="N361" s="69">
        <f>Annahmen!$B$8</f>
        <v>78</v>
      </c>
      <c r="O361" s="72">
        <f>INDEX(Quelle_SMARD_Preise_2025!$C$11:$C$375, MATCH($A361,Quelle_SMARD_Preise_2025!$A$11:$A$375, 0))</f>
        <v>97.53</v>
      </c>
      <c r="P361" s="69">
        <f t="shared" si="55"/>
        <v>997.70960023208897</v>
      </c>
      <c r="Q361" s="69">
        <f t="shared" si="56"/>
        <v>534.65174346503113</v>
      </c>
      <c r="R361" s="73">
        <f>Annahmen!$B$9</f>
        <v>0.05</v>
      </c>
      <c r="S361" s="69">
        <f t="shared" si="57"/>
        <v>0.91365348006601566</v>
      </c>
      <c r="T361" s="69">
        <f t="shared" si="58"/>
        <v>1</v>
      </c>
      <c r="U361" s="74">
        <f>$O361+Annahmen!$B$10+(T361*Annahmen!$B$11)</f>
        <v>225.53</v>
      </c>
      <c r="V361" s="74">
        <f t="shared" si="51"/>
        <v>206.05626935928851</v>
      </c>
      <c r="W361" s="74">
        <f t="shared" si="59"/>
        <v>637.08143511523167</v>
      </c>
    </row>
    <row r="362" spans="1:24" x14ac:dyDescent="0.35">
      <c r="A362" s="70">
        <v>46018</v>
      </c>
      <c r="B362" s="71" t="str">
        <f t="shared" si="52"/>
        <v>Sa</v>
      </c>
      <c r="C362" s="69">
        <f t="shared" si="53"/>
        <v>12</v>
      </c>
      <c r="D362" s="69">
        <v>361</v>
      </c>
      <c r="E362" s="69" t="str">
        <f>IF(OR(COUNTIF(Feiertage_Hessen_2025!$C$4:$C$13,A362)&gt;0,WEEKDAY(A362,2)=7),"FT",IF(WEEKDAY(A362,2)=6,"SA","WT"))</f>
        <v>SA</v>
      </c>
      <c r="F362" s="69">
        <f>INDEX('BDEW-H25 Tagessummen'!$C$4:$C$39, MATCH(C362&amp;"_"&amp;E362, 'BDEW-H25 Tagessummen'!$D$4:$D$39, 0))</f>
        <v>2816.4139999999993</v>
      </c>
      <c r="G362" s="69">
        <f t="shared" si="50"/>
        <v>1.2466910079279989</v>
      </c>
      <c r="H362" s="69">
        <f>Tabelle1[[#This Row],[Profilwert (kWh)]]*Tabelle1[[#This Row],[Dynamisierungsfaktor]]</f>
        <v>3511.1980084025263</v>
      </c>
      <c r="I362" s="69">
        <f>Annahmen!$B$5*(H362/SUM($H$2:$H$366))</f>
        <v>17.563583621427881</v>
      </c>
      <c r="J362" s="69">
        <f>Annahmen!$B$6</f>
        <v>130</v>
      </c>
      <c r="K362" s="69">
        <f t="shared" si="54"/>
        <v>2283.2658707856244</v>
      </c>
      <c r="L362" s="69">
        <f>I362*Annahmen!$B$7</f>
        <v>12.294508534999515</v>
      </c>
      <c r="M362" s="69">
        <f>I362*(1-Annahmen!$B$7)</f>
        <v>5.2690750864283649</v>
      </c>
      <c r="N362" s="69">
        <f>Annahmen!$B$8</f>
        <v>78</v>
      </c>
      <c r="O362" s="72">
        <f>INDEX(Quelle_SMARD_Preise_2025!$C$11:$C$375, MATCH($A362,Quelle_SMARD_Preise_2025!$A$11:$A$375, 0))</f>
        <v>91.44</v>
      </c>
      <c r="P362" s="69">
        <f t="shared" si="55"/>
        <v>958.97166572996218</v>
      </c>
      <c r="Q362" s="69">
        <f t="shared" si="56"/>
        <v>481.80422590300969</v>
      </c>
      <c r="R362" s="73">
        <f>Annahmen!$B$9</f>
        <v>0.05</v>
      </c>
      <c r="S362" s="69">
        <f t="shared" si="57"/>
        <v>0.87817918107139414</v>
      </c>
      <c r="T362" s="69">
        <f t="shared" si="58"/>
        <v>0</v>
      </c>
      <c r="U362" s="74">
        <f>$O362+Annahmen!$B$10+(T362*Annahmen!$B$11)</f>
        <v>99.44</v>
      </c>
      <c r="V362" s="74">
        <f t="shared" si="51"/>
        <v>87.326137765739432</v>
      </c>
      <c r="W362" s="74">
        <f t="shared" si="59"/>
        <v>755.16384138691308</v>
      </c>
    </row>
    <row r="363" spans="1:24" x14ac:dyDescent="0.35">
      <c r="A363" s="70">
        <v>46019</v>
      </c>
      <c r="B363" s="71" t="str">
        <f t="shared" si="52"/>
        <v>So</v>
      </c>
      <c r="C363" s="69">
        <f t="shared" si="53"/>
        <v>12</v>
      </c>
      <c r="D363" s="69">
        <v>362</v>
      </c>
      <c r="E363" s="69" t="str">
        <f>IF(OR(COUNTIF(Feiertage_Hessen_2025!$C$4:$C$13,A363)&gt;0,WEEKDAY(A363,2)=7),"FT",IF(WEEKDAY(A363,2)=6,"SA","WT"))</f>
        <v>FT</v>
      </c>
      <c r="F363" s="69">
        <f>INDEX('BDEW-H25 Tagessummen'!$C$4:$C$39, MATCH(C363&amp;"_"&amp;E363, 'BDEW-H25 Tagessummen'!$D$4:$D$39, 0))</f>
        <v>2936.7459999999987</v>
      </c>
      <c r="G363" s="69">
        <f t="shared" si="50"/>
        <v>1.2494164250880009</v>
      </c>
      <c r="H363" s="69">
        <f>Tabelle1[[#This Row],[Profilwert (kWh)]]*Tabelle1[[#This Row],[Dynamisierungsfaktor]]</f>
        <v>3669.2186887114844</v>
      </c>
      <c r="I363" s="69">
        <f>Annahmen!$B$5*(H363/SUM($H$2:$H$366))</f>
        <v>18.354028770314265</v>
      </c>
      <c r="J363" s="69">
        <f>Annahmen!$B$6</f>
        <v>130</v>
      </c>
      <c r="K363" s="69">
        <f t="shared" si="54"/>
        <v>2386.0237401408544</v>
      </c>
      <c r="L363" s="69">
        <f>I363*Annahmen!$B$7</f>
        <v>12.847820139219985</v>
      </c>
      <c r="M363" s="69">
        <f>I363*(1-Annahmen!$B$7)</f>
        <v>5.5062086310942808</v>
      </c>
      <c r="N363" s="69">
        <f>Annahmen!$B$8</f>
        <v>78</v>
      </c>
      <c r="O363" s="72">
        <f>INDEX(Quelle_SMARD_Preise_2025!$C$11:$C$375, MATCH($A363,Quelle_SMARD_Preise_2025!$A$11:$A$375, 0))</f>
        <v>92.77</v>
      </c>
      <c r="P363" s="69">
        <f t="shared" si="55"/>
        <v>1002.1299708591589</v>
      </c>
      <c r="Q363" s="69">
        <f t="shared" si="56"/>
        <v>510.81097470661643</v>
      </c>
      <c r="R363" s="73">
        <f>Annahmen!$B$9</f>
        <v>0.05</v>
      </c>
      <c r="S363" s="69">
        <f t="shared" si="57"/>
        <v>0.91770143851571329</v>
      </c>
      <c r="T363" s="69">
        <f t="shared" si="58"/>
        <v>1</v>
      </c>
      <c r="U363" s="74">
        <f>$O363+Annahmen!$B$10+(T363*Annahmen!$B$11)</f>
        <v>220.76999999999998</v>
      </c>
      <c r="V363" s="74">
        <f t="shared" si="51"/>
        <v>202.60094658111402</v>
      </c>
      <c r="W363" s="74">
        <f t="shared" si="59"/>
        <v>670.48184799396506</v>
      </c>
    </row>
    <row r="364" spans="1:24" x14ac:dyDescent="0.35">
      <c r="A364" s="70">
        <v>46020</v>
      </c>
      <c r="B364" s="71" t="str">
        <f t="shared" si="52"/>
        <v>Mo</v>
      </c>
      <c r="C364" s="69">
        <f t="shared" si="53"/>
        <v>12</v>
      </c>
      <c r="D364" s="69">
        <v>363</v>
      </c>
      <c r="E364" s="69" t="str">
        <f>IF(OR(COUNTIF(Feiertage_Hessen_2025!$C$4:$C$13,A364)&gt;0,WEEKDAY(A364,2)=7),"FT",IF(WEEKDAY(A364,2)=6,"SA","WT"))</f>
        <v>WT</v>
      </c>
      <c r="F364" s="69">
        <f>INDEX('BDEW-H25 Tagessummen'!$C$4:$C$39, MATCH(C364&amp;"_"&amp;E364, 'BDEW-H25 Tagessummen'!$D$4:$D$39, 0))</f>
        <v>2536.5189999999993</v>
      </c>
      <c r="G364" s="69">
        <f t="shared" si="50"/>
        <v>1.2520800504880008</v>
      </c>
      <c r="H364" s="69">
        <f>Tabelle1[[#This Row],[Profilwert (kWh)]]*Tabelle1[[#This Row],[Dynamisierungsfaktor]]</f>
        <v>3175.9248375837724</v>
      </c>
      <c r="I364" s="69">
        <f>Annahmen!$B$5*(H364/SUM($H$2:$H$366))</f>
        <v>15.88649268049984</v>
      </c>
      <c r="J364" s="69">
        <f>Annahmen!$B$6</f>
        <v>130</v>
      </c>
      <c r="K364" s="69">
        <f t="shared" si="54"/>
        <v>2065.2440484649792</v>
      </c>
      <c r="L364" s="69">
        <f>I364*Annahmen!$B$7</f>
        <v>11.120544876349888</v>
      </c>
      <c r="M364" s="69">
        <f>I364*(1-Annahmen!$B$7)</f>
        <v>4.7659478041499526</v>
      </c>
      <c r="N364" s="69">
        <f>Annahmen!$B$8</f>
        <v>78</v>
      </c>
      <c r="O364" s="72">
        <f>INDEX(Quelle_SMARD_Preise_2025!$C$11:$C$375, MATCH($A364,Quelle_SMARD_Preise_2025!$A$11:$A$375, 0))</f>
        <v>94.35</v>
      </c>
      <c r="P364" s="69">
        <f t="shared" si="55"/>
        <v>867.40250035529118</v>
      </c>
      <c r="Q364" s="69">
        <f t="shared" si="56"/>
        <v>449.66717532154797</v>
      </c>
      <c r="R364" s="73">
        <f>Annahmen!$B$9</f>
        <v>0.05</v>
      </c>
      <c r="S364" s="69">
        <f t="shared" si="57"/>
        <v>0.79432463402499209</v>
      </c>
      <c r="T364" s="69">
        <f t="shared" si="58"/>
        <v>0</v>
      </c>
      <c r="U364" s="74">
        <f>$O364+Annahmen!$B$10+(T364*Annahmen!$B$11)</f>
        <v>102.35</v>
      </c>
      <c r="V364" s="74">
        <f t="shared" si="51"/>
        <v>81.299126292457942</v>
      </c>
      <c r="W364" s="74">
        <f t="shared" si="59"/>
        <v>666.87524649568218</v>
      </c>
    </row>
    <row r="365" spans="1:24" x14ac:dyDescent="0.35">
      <c r="A365" s="70">
        <v>46021</v>
      </c>
      <c r="B365" s="71" t="str">
        <f t="shared" si="52"/>
        <v>Di</v>
      </c>
      <c r="C365" s="69">
        <f t="shared" si="53"/>
        <v>12</v>
      </c>
      <c r="D365" s="69">
        <v>364</v>
      </c>
      <c r="E365" s="69" t="str">
        <f>IF(OR(COUNTIF(Feiertage_Hessen_2025!$C$4:$C$13,A365)&gt;0,WEEKDAY(A365,2)=7),"FT",IF(WEEKDAY(A365,2)=6,"SA","WT"))</f>
        <v>WT</v>
      </c>
      <c r="F365" s="69">
        <f>INDEX('BDEW-H25 Tagessummen'!$C$4:$C$39, MATCH(C365&amp;"_"&amp;E365, 'BDEW-H25 Tagessummen'!$D$4:$D$39, 0))</f>
        <v>2536.5189999999993</v>
      </c>
      <c r="G365" s="69">
        <f t="shared" si="50"/>
        <v>1.2546803937279996</v>
      </c>
      <c r="H365" s="69">
        <f>Tabelle1[[#This Row],[Profilwert (kWh)]]*Tabelle1[[#This Row],[Dynamisierungsfaktor]]</f>
        <v>3182.520657618551</v>
      </c>
      <c r="I365" s="69">
        <f>Annahmen!$B$5*(H365/SUM($H$2:$H$366))</f>
        <v>15.91948604528744</v>
      </c>
      <c r="J365" s="69">
        <f>Annahmen!$B$6</f>
        <v>130</v>
      </c>
      <c r="K365" s="69">
        <f t="shared" si="54"/>
        <v>2069.5331858873674</v>
      </c>
      <c r="L365" s="69">
        <f>I365*Annahmen!$B$7</f>
        <v>11.143640231701207</v>
      </c>
      <c r="M365" s="69">
        <f>I365*(1-Annahmen!$B$7)</f>
        <v>4.7758458135862325</v>
      </c>
      <c r="N365" s="69">
        <f>Annahmen!$B$8</f>
        <v>78</v>
      </c>
      <c r="O365" s="72">
        <f>INDEX(Quelle_SMARD_Preise_2025!$C$11:$C$375, MATCH($A365,Quelle_SMARD_Preise_2025!$A$11:$A$375, 0))</f>
        <v>87.76</v>
      </c>
      <c r="P365" s="69">
        <f t="shared" si="55"/>
        <v>869.2039380726942</v>
      </c>
      <c r="Q365" s="69">
        <f t="shared" si="56"/>
        <v>419.12822860032782</v>
      </c>
      <c r="R365" s="73">
        <f>Annahmen!$B$9</f>
        <v>0.05</v>
      </c>
      <c r="S365" s="69">
        <f t="shared" si="57"/>
        <v>0.79597430226437205</v>
      </c>
      <c r="T365" s="69">
        <f t="shared" si="58"/>
        <v>0</v>
      </c>
      <c r="U365" s="74">
        <f>$O365+Annahmen!$B$10+(T365*Annahmen!$B$11)</f>
        <v>95.76</v>
      </c>
      <c r="V365" s="74">
        <f t="shared" si="51"/>
        <v>76.222499184836266</v>
      </c>
      <c r="W365" s="74">
        <f t="shared" si="59"/>
        <v>704.97852002950913</v>
      </c>
    </row>
    <row r="366" spans="1:24" x14ac:dyDescent="0.35">
      <c r="A366" s="70">
        <v>46022</v>
      </c>
      <c r="B366" s="71" t="str">
        <f t="shared" si="52"/>
        <v>Mi</v>
      </c>
      <c r="C366" s="69">
        <f t="shared" si="53"/>
        <v>12</v>
      </c>
      <c r="D366" s="69">
        <v>365</v>
      </c>
      <c r="E366" s="69" t="str">
        <f>IF(OR(COUNTIF(Feiertage_Hessen_2025!$C$4:$C$13,A366)&gt;0,WEEKDAY(A366,2)=7),"FT",IF(WEEKDAY(A366,2)=6,"SA","WT"))</f>
        <v>WT</v>
      </c>
      <c r="F366" s="69">
        <f>INDEX('BDEW-H25 Tagessummen'!$C$4:$C$39, MATCH(C366&amp;"_"&amp;E366, 'BDEW-H25 Tagessummen'!$D$4:$D$39, 0))</f>
        <v>2536.5189999999993</v>
      </c>
      <c r="G366" s="69">
        <f t="shared" si="50"/>
        <v>1.2572159550000004</v>
      </c>
      <c r="H366" s="69">
        <f>Tabelle1[[#This Row],[Profilwert (kWh)]]*Tabelle1[[#This Row],[Dynamisierungsfaktor]]</f>
        <v>3188.952156960645</v>
      </c>
      <c r="I366" s="69">
        <f>Annahmen!$B$5*(H366/SUM($H$2:$H$366))</f>
        <v>15.951657451239399</v>
      </c>
      <c r="J366" s="69">
        <f>Annahmen!$B$6</f>
        <v>130</v>
      </c>
      <c r="K366" s="69">
        <f t="shared" si="54"/>
        <v>2073.715468661122</v>
      </c>
      <c r="L366" s="69">
        <f>I366*Annahmen!$B$7</f>
        <v>11.166160215867578</v>
      </c>
      <c r="M366" s="69">
        <f>I366*(1-Annahmen!$B$7)</f>
        <v>4.7854972353718201</v>
      </c>
      <c r="N366" s="69">
        <f>Annahmen!$B$8</f>
        <v>78</v>
      </c>
      <c r="O366" s="72">
        <f>INDEX(Quelle_SMARD_Preise_2025!$C$11:$C$375, MATCH($A366,Quelle_SMARD_Preise_2025!$A$11:$A$375, 0))</f>
        <v>87.31</v>
      </c>
      <c r="P366" s="69">
        <f t="shared" si="55"/>
        <v>870.96049683767103</v>
      </c>
      <c r="Q366" s="69">
        <f t="shared" si="56"/>
        <v>417.82176362031362</v>
      </c>
      <c r="R366" s="73">
        <f>Annahmen!$B$9</f>
        <v>0.05</v>
      </c>
      <c r="S366" s="69">
        <f t="shared" si="57"/>
        <v>0.79758287256197002</v>
      </c>
      <c r="T366" s="69">
        <f t="shared" si="58"/>
        <v>0</v>
      </c>
      <c r="U366" s="74">
        <f>$O366+Annahmen!$B$10+(T366*Annahmen!$B$11)</f>
        <v>95.31</v>
      </c>
      <c r="V366" s="74">
        <f t="shared" si="51"/>
        <v>76.01762358388136</v>
      </c>
      <c r="W366" s="74">
        <f t="shared" si="59"/>
        <v>708.91558461925592</v>
      </c>
    </row>
    <row r="367" spans="1:24" x14ac:dyDescent="0.35">
      <c r="A367" s="70"/>
      <c r="B367" s="71"/>
      <c r="K367" s="69">
        <f>SUM(K2:K366)</f>
        <v>649999.99999999965</v>
      </c>
      <c r="L367" s="69">
        <f t="shared" ref="L367:W367" si="60">SUM(L2:L366)</f>
        <v>3500</v>
      </c>
      <c r="M367" s="69">
        <f t="shared" si="60"/>
        <v>1499.9999999999991</v>
      </c>
      <c r="P367" s="69">
        <f t="shared" ref="P367" si="61">SUM(P2:P366)</f>
        <v>273000.00000000017</v>
      </c>
      <c r="Q367" s="69">
        <f t="shared" ref="Q367" si="62">SUM(Q2:Q366)</f>
        <v>134781.63240941483</v>
      </c>
      <c r="V367" s="69">
        <f t="shared" si="60"/>
        <v>27860.102940153713</v>
      </c>
      <c r="W367" s="69">
        <f t="shared" si="60"/>
        <v>214358.26465043137</v>
      </c>
      <c r="X367" s="69" t="s">
        <v>591</v>
      </c>
    </row>
    <row r="368" spans="1:24" x14ac:dyDescent="0.35">
      <c r="O368" s="72"/>
    </row>
    <row r="369" spans="15:15" x14ac:dyDescent="0.35">
      <c r="O369" s="72"/>
    </row>
    <row r="370" spans="15:15" x14ac:dyDescent="0.35">
      <c r="O370" s="72"/>
    </row>
    <row r="371" spans="15:15" x14ac:dyDescent="0.35">
      <c r="O371" s="72"/>
    </row>
    <row r="372" spans="15:15" x14ac:dyDescent="0.35">
      <c r="O372" s="72"/>
    </row>
    <row r="373" spans="15:15" x14ac:dyDescent="0.35">
      <c r="O373" s="72"/>
    </row>
    <row r="374" spans="15:15" x14ac:dyDescent="0.35">
      <c r="O374" s="72"/>
    </row>
    <row r="375" spans="15:15" x14ac:dyDescent="0.35">
      <c r="O375" s="72"/>
    </row>
    <row r="376" spans="15:15" x14ac:dyDescent="0.35">
      <c r="O376" s="72"/>
    </row>
    <row r="377" spans="15:15" x14ac:dyDescent="0.35">
      <c r="O377" s="72"/>
    </row>
    <row r="378" spans="15:15" x14ac:dyDescent="0.35">
      <c r="O378" s="72"/>
    </row>
    <row r="379" spans="15:15" x14ac:dyDescent="0.35">
      <c r="O379" s="72"/>
    </row>
    <row r="380" spans="15:15" x14ac:dyDescent="0.35">
      <c r="O380" s="72"/>
    </row>
    <row r="381" spans="15:15" x14ac:dyDescent="0.35">
      <c r="O381" s="72"/>
    </row>
    <row r="382" spans="15:15" x14ac:dyDescent="0.35">
      <c r="O382" s="72"/>
    </row>
    <row r="383" spans="15:15" x14ac:dyDescent="0.35">
      <c r="O383" s="72"/>
    </row>
    <row r="384" spans="15:15" x14ac:dyDescent="0.35">
      <c r="O384" s="72"/>
    </row>
    <row r="385" spans="15:15" x14ac:dyDescent="0.35">
      <c r="O385" s="72"/>
    </row>
    <row r="386" spans="15:15" x14ac:dyDescent="0.35">
      <c r="O386" s="72"/>
    </row>
    <row r="387" spans="15:15" x14ac:dyDescent="0.35">
      <c r="O387" s="72"/>
    </row>
    <row r="388" spans="15:15" x14ac:dyDescent="0.35">
      <c r="O388" s="72"/>
    </row>
    <row r="389" spans="15:15" x14ac:dyDescent="0.35">
      <c r="O389" s="72"/>
    </row>
    <row r="390" spans="15:15" x14ac:dyDescent="0.35">
      <c r="O390" s="72"/>
    </row>
    <row r="391" spans="15:15" x14ac:dyDescent="0.35">
      <c r="O391" s="72"/>
    </row>
    <row r="392" spans="15:15" x14ac:dyDescent="0.35">
      <c r="O392" s="72"/>
    </row>
    <row r="393" spans="15:15" x14ac:dyDescent="0.35">
      <c r="O393" s="72"/>
    </row>
    <row r="394" spans="15:15" x14ac:dyDescent="0.35">
      <c r="O394" s="72"/>
    </row>
    <row r="395" spans="15:15" x14ac:dyDescent="0.35">
      <c r="O395" s="72"/>
    </row>
    <row r="396" spans="15:15" x14ac:dyDescent="0.35">
      <c r="O396" s="72"/>
    </row>
    <row r="397" spans="15:15" x14ac:dyDescent="0.35">
      <c r="O397" s="72"/>
    </row>
    <row r="398" spans="15:15" x14ac:dyDescent="0.35">
      <c r="O398" s="72"/>
    </row>
    <row r="399" spans="15:15" x14ac:dyDescent="0.35">
      <c r="O399" s="72"/>
    </row>
    <row r="400" spans="15:15" x14ac:dyDescent="0.35">
      <c r="O400" s="72"/>
    </row>
    <row r="401" spans="15:15" x14ac:dyDescent="0.35">
      <c r="O401" s="72"/>
    </row>
    <row r="402" spans="15:15" x14ac:dyDescent="0.35">
      <c r="O402" s="72"/>
    </row>
    <row r="403" spans="15:15" x14ac:dyDescent="0.35">
      <c r="O403" s="72"/>
    </row>
    <row r="404" spans="15:15" x14ac:dyDescent="0.35">
      <c r="O404" s="72"/>
    </row>
    <row r="405" spans="15:15" x14ac:dyDescent="0.35">
      <c r="O405" s="72"/>
    </row>
    <row r="406" spans="15:15" x14ac:dyDescent="0.35">
      <c r="O406" s="72"/>
    </row>
    <row r="407" spans="15:15" x14ac:dyDescent="0.35">
      <c r="O407" s="72"/>
    </row>
    <row r="408" spans="15:15" x14ac:dyDescent="0.35">
      <c r="O408" s="72"/>
    </row>
    <row r="409" spans="15:15" x14ac:dyDescent="0.35">
      <c r="O409" s="72"/>
    </row>
    <row r="410" spans="15:15" x14ac:dyDescent="0.35">
      <c r="O410" s="72"/>
    </row>
    <row r="411" spans="15:15" x14ac:dyDescent="0.35">
      <c r="O411" s="72"/>
    </row>
    <row r="412" spans="15:15" x14ac:dyDescent="0.35">
      <c r="O412" s="72"/>
    </row>
    <row r="413" spans="15:15" x14ac:dyDescent="0.35">
      <c r="O413" s="72"/>
    </row>
    <row r="414" spans="15:15" x14ac:dyDescent="0.35">
      <c r="O414" s="72"/>
    </row>
    <row r="415" spans="15:15" x14ac:dyDescent="0.35">
      <c r="O415" s="72"/>
    </row>
    <row r="416" spans="15:15" x14ac:dyDescent="0.35">
      <c r="O416" s="72"/>
    </row>
    <row r="417" spans="15:15" x14ac:dyDescent="0.35">
      <c r="O417" s="72"/>
    </row>
    <row r="418" spans="15:15" x14ac:dyDescent="0.35">
      <c r="O418" s="72"/>
    </row>
    <row r="419" spans="15:15" x14ac:dyDescent="0.35">
      <c r="O419" s="72"/>
    </row>
    <row r="420" spans="15:15" x14ac:dyDescent="0.35">
      <c r="O420" s="72"/>
    </row>
    <row r="421" spans="15:15" x14ac:dyDescent="0.35">
      <c r="O421" s="72"/>
    </row>
    <row r="422" spans="15:15" x14ac:dyDescent="0.35">
      <c r="O422" s="72"/>
    </row>
    <row r="423" spans="15:15" x14ac:dyDescent="0.35">
      <c r="O423" s="72"/>
    </row>
    <row r="424" spans="15:15" x14ac:dyDescent="0.35">
      <c r="O424" s="72"/>
    </row>
    <row r="425" spans="15:15" x14ac:dyDescent="0.35">
      <c r="O425" s="72"/>
    </row>
    <row r="426" spans="15:15" x14ac:dyDescent="0.35">
      <c r="O426" s="72"/>
    </row>
    <row r="427" spans="15:15" x14ac:dyDescent="0.35">
      <c r="O427" s="72"/>
    </row>
    <row r="428" spans="15:15" x14ac:dyDescent="0.35">
      <c r="O428" s="72"/>
    </row>
    <row r="429" spans="15:15" x14ac:dyDescent="0.35">
      <c r="O429" s="72"/>
    </row>
    <row r="430" spans="15:15" x14ac:dyDescent="0.35">
      <c r="O430" s="72"/>
    </row>
    <row r="431" spans="15:15" x14ac:dyDescent="0.35">
      <c r="O431" s="72"/>
    </row>
    <row r="432" spans="15:15" x14ac:dyDescent="0.35">
      <c r="O432" s="72"/>
    </row>
    <row r="433" spans="15:15" x14ac:dyDescent="0.35">
      <c r="O433" s="72"/>
    </row>
    <row r="434" spans="15:15" x14ac:dyDescent="0.35">
      <c r="O434" s="72"/>
    </row>
    <row r="435" spans="15:15" x14ac:dyDescent="0.35">
      <c r="O435" s="72"/>
    </row>
    <row r="436" spans="15:15" x14ac:dyDescent="0.35">
      <c r="O436" s="72"/>
    </row>
    <row r="437" spans="15:15" x14ac:dyDescent="0.35">
      <c r="O437" s="72"/>
    </row>
    <row r="438" spans="15:15" x14ac:dyDescent="0.35">
      <c r="O438" s="72"/>
    </row>
    <row r="439" spans="15:15" x14ac:dyDescent="0.35">
      <c r="O439" s="72"/>
    </row>
    <row r="440" spans="15:15" x14ac:dyDescent="0.35">
      <c r="O440" s="72"/>
    </row>
    <row r="441" spans="15:15" x14ac:dyDescent="0.35">
      <c r="O441" s="72"/>
    </row>
    <row r="442" spans="15:15" x14ac:dyDescent="0.35">
      <c r="O442" s="72"/>
    </row>
    <row r="443" spans="15:15" x14ac:dyDescent="0.35">
      <c r="O443" s="72"/>
    </row>
    <row r="444" spans="15:15" x14ac:dyDescent="0.35">
      <c r="O444" s="72"/>
    </row>
    <row r="445" spans="15:15" x14ac:dyDescent="0.35">
      <c r="O445" s="72"/>
    </row>
    <row r="446" spans="15:15" x14ac:dyDescent="0.35">
      <c r="O446" s="72"/>
    </row>
    <row r="447" spans="15:15" x14ac:dyDescent="0.35">
      <c r="O447" s="72"/>
    </row>
    <row r="448" spans="15:15" x14ac:dyDescent="0.35">
      <c r="O448" s="72"/>
    </row>
    <row r="449" spans="15:15" x14ac:dyDescent="0.35">
      <c r="O449" s="72"/>
    </row>
    <row r="450" spans="15:15" x14ac:dyDescent="0.35">
      <c r="O450" s="72"/>
    </row>
    <row r="451" spans="15:15" x14ac:dyDescent="0.35">
      <c r="O451" s="72"/>
    </row>
    <row r="452" spans="15:15" x14ac:dyDescent="0.35">
      <c r="O452" s="72"/>
    </row>
    <row r="453" spans="15:15" x14ac:dyDescent="0.35">
      <c r="O453" s="72"/>
    </row>
    <row r="454" spans="15:15" x14ac:dyDescent="0.35">
      <c r="O454" s="72"/>
    </row>
    <row r="455" spans="15:15" x14ac:dyDescent="0.35">
      <c r="O455" s="72"/>
    </row>
    <row r="456" spans="15:15" x14ac:dyDescent="0.35">
      <c r="O456" s="72"/>
    </row>
    <row r="457" spans="15:15" x14ac:dyDescent="0.35">
      <c r="O457" s="72"/>
    </row>
    <row r="458" spans="15:15" x14ac:dyDescent="0.35">
      <c r="O458" s="72"/>
    </row>
    <row r="459" spans="15:15" x14ac:dyDescent="0.35">
      <c r="O459" s="72"/>
    </row>
    <row r="460" spans="15:15" x14ac:dyDescent="0.35">
      <c r="O460" s="72"/>
    </row>
    <row r="461" spans="15:15" x14ac:dyDescent="0.35">
      <c r="O461" s="72"/>
    </row>
    <row r="462" spans="15:15" x14ac:dyDescent="0.35">
      <c r="O462" s="72"/>
    </row>
    <row r="463" spans="15:15" x14ac:dyDescent="0.35">
      <c r="O463" s="72"/>
    </row>
    <row r="464" spans="15:15" x14ac:dyDescent="0.35">
      <c r="O464" s="72"/>
    </row>
    <row r="465" spans="15:15" x14ac:dyDescent="0.35">
      <c r="O465" s="72"/>
    </row>
    <row r="466" spans="15:15" x14ac:dyDescent="0.35">
      <c r="O466" s="72"/>
    </row>
    <row r="467" spans="15:15" x14ac:dyDescent="0.35">
      <c r="O467" s="72"/>
    </row>
    <row r="468" spans="15:15" x14ac:dyDescent="0.35">
      <c r="O468" s="72"/>
    </row>
    <row r="469" spans="15:15" x14ac:dyDescent="0.35">
      <c r="O469" s="72"/>
    </row>
    <row r="470" spans="15:15" x14ac:dyDescent="0.35">
      <c r="O470" s="72"/>
    </row>
    <row r="471" spans="15:15" x14ac:dyDescent="0.35">
      <c r="O471" s="72"/>
    </row>
    <row r="472" spans="15:15" x14ac:dyDescent="0.35">
      <c r="O472" s="72"/>
    </row>
    <row r="473" spans="15:15" x14ac:dyDescent="0.35">
      <c r="O473" s="72"/>
    </row>
    <row r="474" spans="15:15" x14ac:dyDescent="0.35">
      <c r="O474" s="72"/>
    </row>
    <row r="475" spans="15:15" x14ac:dyDescent="0.35">
      <c r="O475" s="72"/>
    </row>
    <row r="476" spans="15:15" x14ac:dyDescent="0.35">
      <c r="O476" s="72"/>
    </row>
    <row r="477" spans="15:15" x14ac:dyDescent="0.35">
      <c r="O477" s="72"/>
    </row>
    <row r="478" spans="15:15" x14ac:dyDescent="0.35">
      <c r="O478" s="72"/>
    </row>
    <row r="479" spans="15:15" x14ac:dyDescent="0.35">
      <c r="O479" s="72"/>
    </row>
    <row r="480" spans="15:15" x14ac:dyDescent="0.35">
      <c r="O480" s="72"/>
    </row>
    <row r="481" spans="15:15" x14ac:dyDescent="0.35">
      <c r="O481" s="72"/>
    </row>
    <row r="482" spans="15:15" x14ac:dyDescent="0.35">
      <c r="O482" s="72"/>
    </row>
    <row r="483" spans="15:15" x14ac:dyDescent="0.35">
      <c r="O483" s="72"/>
    </row>
    <row r="484" spans="15:15" x14ac:dyDescent="0.35">
      <c r="O484" s="72"/>
    </row>
    <row r="485" spans="15:15" x14ac:dyDescent="0.35">
      <c r="O485" s="72"/>
    </row>
    <row r="486" spans="15:15" x14ac:dyDescent="0.35">
      <c r="O486" s="72"/>
    </row>
    <row r="487" spans="15:15" x14ac:dyDescent="0.35">
      <c r="O487" s="72"/>
    </row>
    <row r="488" spans="15:15" x14ac:dyDescent="0.35">
      <c r="O488" s="72"/>
    </row>
    <row r="489" spans="15:15" x14ac:dyDescent="0.35">
      <c r="O489" s="72"/>
    </row>
    <row r="490" spans="15:15" x14ac:dyDescent="0.35">
      <c r="O490" s="72"/>
    </row>
    <row r="491" spans="15:15" x14ac:dyDescent="0.35">
      <c r="O491" s="72"/>
    </row>
    <row r="492" spans="15:15" x14ac:dyDescent="0.35">
      <c r="O492" s="72"/>
    </row>
    <row r="493" spans="15:15" x14ac:dyDescent="0.35">
      <c r="O493" s="72"/>
    </row>
    <row r="494" spans="15:15" x14ac:dyDescent="0.35">
      <c r="O494" s="72"/>
    </row>
    <row r="495" spans="15:15" x14ac:dyDescent="0.35">
      <c r="O495" s="72"/>
    </row>
    <row r="496" spans="15:15" x14ac:dyDescent="0.35">
      <c r="O496" s="72"/>
    </row>
    <row r="497" spans="15:15" x14ac:dyDescent="0.35">
      <c r="O497" s="72"/>
    </row>
    <row r="498" spans="15:15" x14ac:dyDescent="0.35">
      <c r="O498" s="72"/>
    </row>
    <row r="499" spans="15:15" x14ac:dyDescent="0.35">
      <c r="O499" s="72"/>
    </row>
    <row r="500" spans="15:15" x14ac:dyDescent="0.35">
      <c r="O500" s="72"/>
    </row>
    <row r="501" spans="15:15" x14ac:dyDescent="0.35">
      <c r="O501" s="72"/>
    </row>
    <row r="502" spans="15:15" x14ac:dyDescent="0.35">
      <c r="O502" s="72"/>
    </row>
    <row r="503" spans="15:15" x14ac:dyDescent="0.35">
      <c r="O503" s="72"/>
    </row>
    <row r="504" spans="15:15" x14ac:dyDescent="0.35">
      <c r="O504" s="72"/>
    </row>
    <row r="505" spans="15:15" x14ac:dyDescent="0.35">
      <c r="O505" s="72"/>
    </row>
    <row r="506" spans="15:15" x14ac:dyDescent="0.35">
      <c r="O506" s="72"/>
    </row>
    <row r="507" spans="15:15" x14ac:dyDescent="0.35">
      <c r="O507" s="72"/>
    </row>
    <row r="508" spans="15:15" x14ac:dyDescent="0.35">
      <c r="O508" s="72"/>
    </row>
    <row r="509" spans="15:15" x14ac:dyDescent="0.35">
      <c r="O509" s="72"/>
    </row>
    <row r="510" spans="15:15" x14ac:dyDescent="0.35">
      <c r="O510" s="72"/>
    </row>
    <row r="511" spans="15:15" x14ac:dyDescent="0.35">
      <c r="O511" s="72"/>
    </row>
    <row r="512" spans="15:15" x14ac:dyDescent="0.35">
      <c r="O512" s="72"/>
    </row>
    <row r="513" spans="15:15" x14ac:dyDescent="0.35">
      <c r="O513" s="72"/>
    </row>
    <row r="514" spans="15:15" x14ac:dyDescent="0.35">
      <c r="O514" s="72"/>
    </row>
    <row r="515" spans="15:15" x14ac:dyDescent="0.35">
      <c r="O515" s="72"/>
    </row>
    <row r="516" spans="15:15" x14ac:dyDescent="0.35">
      <c r="O516" s="72"/>
    </row>
    <row r="517" spans="15:15" x14ac:dyDescent="0.35">
      <c r="O517" s="72"/>
    </row>
    <row r="518" spans="15:15" x14ac:dyDescent="0.35">
      <c r="O518" s="72"/>
    </row>
    <row r="519" spans="15:15" x14ac:dyDescent="0.35">
      <c r="O519" s="72"/>
    </row>
    <row r="520" spans="15:15" x14ac:dyDescent="0.35">
      <c r="O520" s="72"/>
    </row>
    <row r="521" spans="15:15" x14ac:dyDescent="0.35">
      <c r="O521" s="72"/>
    </row>
    <row r="522" spans="15:15" x14ac:dyDescent="0.35">
      <c r="O522" s="72"/>
    </row>
    <row r="523" spans="15:15" x14ac:dyDescent="0.35">
      <c r="O523" s="72"/>
    </row>
    <row r="524" spans="15:15" x14ac:dyDescent="0.35">
      <c r="O524" s="72"/>
    </row>
    <row r="525" spans="15:15" x14ac:dyDescent="0.35">
      <c r="O525" s="72"/>
    </row>
    <row r="526" spans="15:15" x14ac:dyDescent="0.35">
      <c r="O526" s="72"/>
    </row>
    <row r="527" spans="15:15" x14ac:dyDescent="0.35">
      <c r="O527" s="72"/>
    </row>
    <row r="528" spans="15:15" x14ac:dyDescent="0.35">
      <c r="O528" s="72"/>
    </row>
    <row r="529" spans="15:15" x14ac:dyDescent="0.35">
      <c r="O529" s="72"/>
    </row>
    <row r="530" spans="15:15" x14ac:dyDescent="0.35">
      <c r="O530" s="72"/>
    </row>
    <row r="531" spans="15:15" x14ac:dyDescent="0.35">
      <c r="O531" s="72"/>
    </row>
    <row r="532" spans="15:15" x14ac:dyDescent="0.35">
      <c r="O532" s="72"/>
    </row>
    <row r="533" spans="15:15" x14ac:dyDescent="0.35">
      <c r="O533" s="72"/>
    </row>
    <row r="534" spans="15:15" x14ac:dyDescent="0.35">
      <c r="O534" s="72"/>
    </row>
    <row r="535" spans="15:15" x14ac:dyDescent="0.35">
      <c r="O535" s="72"/>
    </row>
    <row r="536" spans="15:15" x14ac:dyDescent="0.35">
      <c r="O536" s="72"/>
    </row>
    <row r="537" spans="15:15" x14ac:dyDescent="0.35">
      <c r="O537" s="72"/>
    </row>
    <row r="538" spans="15:15" x14ac:dyDescent="0.35">
      <c r="O538" s="72"/>
    </row>
    <row r="539" spans="15:15" x14ac:dyDescent="0.35">
      <c r="O539" s="72"/>
    </row>
    <row r="540" spans="15:15" x14ac:dyDescent="0.35">
      <c r="O540" s="72"/>
    </row>
    <row r="541" spans="15:15" x14ac:dyDescent="0.35">
      <c r="O541" s="72"/>
    </row>
    <row r="542" spans="15:15" x14ac:dyDescent="0.35">
      <c r="O542" s="72"/>
    </row>
    <row r="543" spans="15:15" x14ac:dyDescent="0.35">
      <c r="O543" s="72"/>
    </row>
    <row r="544" spans="15:15" x14ac:dyDescent="0.35">
      <c r="O544" s="72"/>
    </row>
    <row r="545" spans="15:15" x14ac:dyDescent="0.35">
      <c r="O545" s="72"/>
    </row>
    <row r="546" spans="15:15" x14ac:dyDescent="0.35">
      <c r="O546" s="72"/>
    </row>
    <row r="547" spans="15:15" x14ac:dyDescent="0.35">
      <c r="O547" s="72"/>
    </row>
    <row r="548" spans="15:15" x14ac:dyDescent="0.35">
      <c r="O548" s="72"/>
    </row>
    <row r="549" spans="15:15" x14ac:dyDescent="0.35">
      <c r="O549" s="72"/>
    </row>
    <row r="550" spans="15:15" x14ac:dyDescent="0.35">
      <c r="O550" s="72"/>
    </row>
    <row r="551" spans="15:15" x14ac:dyDescent="0.35">
      <c r="O551" s="72"/>
    </row>
    <row r="552" spans="15:15" x14ac:dyDescent="0.35">
      <c r="O552" s="72"/>
    </row>
    <row r="553" spans="15:15" x14ac:dyDescent="0.35">
      <c r="O553" s="72"/>
    </row>
    <row r="554" spans="15:15" x14ac:dyDescent="0.35">
      <c r="O554" s="72"/>
    </row>
    <row r="555" spans="15:15" x14ac:dyDescent="0.35">
      <c r="O555" s="72"/>
    </row>
    <row r="556" spans="15:15" x14ac:dyDescent="0.35">
      <c r="O556" s="72"/>
    </row>
    <row r="557" spans="15:15" x14ac:dyDescent="0.35">
      <c r="O557" s="72"/>
    </row>
    <row r="558" spans="15:15" x14ac:dyDescent="0.35">
      <c r="O558" s="72"/>
    </row>
    <row r="559" spans="15:15" x14ac:dyDescent="0.35">
      <c r="O559" s="72"/>
    </row>
    <row r="560" spans="15:15" x14ac:dyDescent="0.35">
      <c r="O560" s="72"/>
    </row>
    <row r="561" spans="15:15" x14ac:dyDescent="0.35">
      <c r="O561" s="72"/>
    </row>
    <row r="562" spans="15:15" x14ac:dyDescent="0.35">
      <c r="O562" s="72"/>
    </row>
    <row r="563" spans="15:15" x14ac:dyDescent="0.35">
      <c r="O563" s="72"/>
    </row>
    <row r="564" spans="15:15" x14ac:dyDescent="0.35">
      <c r="O564" s="72"/>
    </row>
    <row r="565" spans="15:15" x14ac:dyDescent="0.35">
      <c r="O565" s="72"/>
    </row>
    <row r="566" spans="15:15" x14ac:dyDescent="0.35">
      <c r="O566" s="72"/>
    </row>
    <row r="567" spans="15:15" x14ac:dyDescent="0.35">
      <c r="O567" s="72"/>
    </row>
    <row r="568" spans="15:15" x14ac:dyDescent="0.35">
      <c r="O568" s="72"/>
    </row>
    <row r="569" spans="15:15" x14ac:dyDescent="0.35">
      <c r="O569" s="72"/>
    </row>
    <row r="570" spans="15:15" x14ac:dyDescent="0.35">
      <c r="O570" s="72"/>
    </row>
    <row r="571" spans="15:15" x14ac:dyDescent="0.35">
      <c r="O571" s="72"/>
    </row>
    <row r="572" spans="15:15" x14ac:dyDescent="0.35">
      <c r="O572" s="72"/>
    </row>
    <row r="573" spans="15:15" x14ac:dyDescent="0.35">
      <c r="O573" s="72"/>
    </row>
    <row r="574" spans="15:15" x14ac:dyDescent="0.35">
      <c r="O574" s="72"/>
    </row>
    <row r="575" spans="15:15" x14ac:dyDescent="0.35">
      <c r="O575" s="72"/>
    </row>
    <row r="576" spans="15:15" x14ac:dyDescent="0.35">
      <c r="O576" s="72"/>
    </row>
    <row r="577" spans="15:15" x14ac:dyDescent="0.35">
      <c r="O577" s="72"/>
    </row>
    <row r="578" spans="15:15" x14ac:dyDescent="0.35">
      <c r="O578" s="72"/>
    </row>
    <row r="579" spans="15:15" x14ac:dyDescent="0.35">
      <c r="O579" s="72"/>
    </row>
    <row r="580" spans="15:15" x14ac:dyDescent="0.35">
      <c r="O580" s="72"/>
    </row>
    <row r="581" spans="15:15" x14ac:dyDescent="0.35">
      <c r="O581" s="72"/>
    </row>
    <row r="582" spans="15:15" x14ac:dyDescent="0.35">
      <c r="O582" s="72"/>
    </row>
    <row r="583" spans="15:15" x14ac:dyDescent="0.35">
      <c r="O583" s="72"/>
    </row>
    <row r="584" spans="15:15" x14ac:dyDescent="0.35">
      <c r="O584" s="72"/>
    </row>
    <row r="585" spans="15:15" x14ac:dyDescent="0.35">
      <c r="O585" s="72"/>
    </row>
    <row r="586" spans="15:15" x14ac:dyDescent="0.35">
      <c r="O586" s="72"/>
    </row>
    <row r="587" spans="15:15" x14ac:dyDescent="0.35">
      <c r="O587" s="72"/>
    </row>
    <row r="588" spans="15:15" x14ac:dyDescent="0.35">
      <c r="O588" s="72"/>
    </row>
    <row r="589" spans="15:15" x14ac:dyDescent="0.35">
      <c r="O589" s="72"/>
    </row>
    <row r="590" spans="15:15" x14ac:dyDescent="0.35">
      <c r="O590" s="72"/>
    </row>
    <row r="591" spans="15:15" x14ac:dyDescent="0.35">
      <c r="O591" s="72"/>
    </row>
    <row r="592" spans="15:15" x14ac:dyDescent="0.35">
      <c r="O592" s="72"/>
    </row>
    <row r="593" spans="15:15" x14ac:dyDescent="0.35">
      <c r="O593" s="72"/>
    </row>
    <row r="594" spans="15:15" x14ac:dyDescent="0.35">
      <c r="O594" s="72"/>
    </row>
    <row r="595" spans="15:15" x14ac:dyDescent="0.35">
      <c r="O595" s="72"/>
    </row>
    <row r="596" spans="15:15" x14ac:dyDescent="0.35">
      <c r="O596" s="72"/>
    </row>
    <row r="597" spans="15:15" x14ac:dyDescent="0.35">
      <c r="O597" s="72"/>
    </row>
    <row r="598" spans="15:15" x14ac:dyDescent="0.35">
      <c r="O598" s="72"/>
    </row>
    <row r="599" spans="15:15" x14ac:dyDescent="0.35">
      <c r="O599" s="72"/>
    </row>
    <row r="600" spans="15:15" x14ac:dyDescent="0.35">
      <c r="O600" s="72"/>
    </row>
    <row r="601" spans="15:15" x14ac:dyDescent="0.35">
      <c r="O601" s="72"/>
    </row>
    <row r="602" spans="15:15" x14ac:dyDescent="0.35">
      <c r="O602" s="72"/>
    </row>
    <row r="603" spans="15:15" x14ac:dyDescent="0.35">
      <c r="O603" s="72"/>
    </row>
    <row r="604" spans="15:15" x14ac:dyDescent="0.35">
      <c r="O604" s="72"/>
    </row>
    <row r="605" spans="15:15" x14ac:dyDescent="0.35">
      <c r="O605" s="72"/>
    </row>
    <row r="606" spans="15:15" x14ac:dyDescent="0.35">
      <c r="O606" s="72"/>
    </row>
    <row r="607" spans="15:15" x14ac:dyDescent="0.35">
      <c r="O607" s="72"/>
    </row>
    <row r="608" spans="15:15" x14ac:dyDescent="0.35">
      <c r="O608" s="72"/>
    </row>
    <row r="609" spans="15:15" x14ac:dyDescent="0.35">
      <c r="O609" s="72"/>
    </row>
    <row r="610" spans="15:15" x14ac:dyDescent="0.35">
      <c r="O610" s="72"/>
    </row>
    <row r="611" spans="15:15" x14ac:dyDescent="0.35">
      <c r="O611" s="72"/>
    </row>
    <row r="612" spans="15:15" x14ac:dyDescent="0.35">
      <c r="O612" s="72"/>
    </row>
    <row r="613" spans="15:15" x14ac:dyDescent="0.35">
      <c r="O613" s="72"/>
    </row>
    <row r="614" spans="15:15" x14ac:dyDescent="0.35">
      <c r="O614" s="72"/>
    </row>
    <row r="615" spans="15:15" x14ac:dyDescent="0.35">
      <c r="O615" s="72"/>
    </row>
    <row r="616" spans="15:15" x14ac:dyDescent="0.35">
      <c r="O616" s="72"/>
    </row>
    <row r="617" spans="15:15" x14ac:dyDescent="0.35">
      <c r="O617" s="72"/>
    </row>
    <row r="618" spans="15:15" x14ac:dyDescent="0.35">
      <c r="O618" s="72"/>
    </row>
    <row r="619" spans="15:15" x14ac:dyDescent="0.35">
      <c r="O619" s="72"/>
    </row>
    <row r="620" spans="15:15" x14ac:dyDescent="0.35">
      <c r="O620" s="72"/>
    </row>
    <row r="621" spans="15:15" x14ac:dyDescent="0.35">
      <c r="O621" s="72"/>
    </row>
    <row r="622" spans="15:15" x14ac:dyDescent="0.35">
      <c r="O622" s="72"/>
    </row>
    <row r="623" spans="15:15" x14ac:dyDescent="0.35">
      <c r="O623" s="72"/>
    </row>
    <row r="624" spans="15:15" x14ac:dyDescent="0.35">
      <c r="O624" s="72"/>
    </row>
    <row r="625" spans="15:15" x14ac:dyDescent="0.35">
      <c r="O625" s="72"/>
    </row>
    <row r="626" spans="15:15" x14ac:dyDescent="0.35">
      <c r="O626" s="72"/>
    </row>
    <row r="627" spans="15:15" x14ac:dyDescent="0.35">
      <c r="O627" s="72"/>
    </row>
    <row r="628" spans="15:15" x14ac:dyDescent="0.35">
      <c r="O628" s="72"/>
    </row>
    <row r="629" spans="15:15" x14ac:dyDescent="0.35">
      <c r="O629" s="72"/>
    </row>
    <row r="630" spans="15:15" x14ac:dyDescent="0.35">
      <c r="O630" s="72"/>
    </row>
    <row r="631" spans="15:15" x14ac:dyDescent="0.35">
      <c r="O631" s="72"/>
    </row>
    <row r="632" spans="15:15" x14ac:dyDescent="0.35">
      <c r="O632" s="72"/>
    </row>
    <row r="633" spans="15:15" x14ac:dyDescent="0.35">
      <c r="O633" s="72"/>
    </row>
    <row r="634" spans="15:15" x14ac:dyDescent="0.35">
      <c r="O634" s="72"/>
    </row>
    <row r="635" spans="15:15" x14ac:dyDescent="0.35">
      <c r="O635" s="72"/>
    </row>
    <row r="636" spans="15:15" x14ac:dyDescent="0.35">
      <c r="O636" s="72"/>
    </row>
    <row r="637" spans="15:15" x14ac:dyDescent="0.35">
      <c r="O637" s="72"/>
    </row>
    <row r="638" spans="15:15" x14ac:dyDescent="0.35">
      <c r="O638" s="72"/>
    </row>
    <row r="639" spans="15:15" x14ac:dyDescent="0.35">
      <c r="O639" s="72"/>
    </row>
    <row r="640" spans="15:15" x14ac:dyDescent="0.35">
      <c r="O640" s="72"/>
    </row>
    <row r="641" spans="15:15" x14ac:dyDescent="0.35">
      <c r="O641" s="72"/>
    </row>
    <row r="642" spans="15:15" x14ac:dyDescent="0.35">
      <c r="O642" s="72"/>
    </row>
    <row r="643" spans="15:15" x14ac:dyDescent="0.35">
      <c r="O643" s="72"/>
    </row>
    <row r="644" spans="15:15" x14ac:dyDescent="0.35">
      <c r="O644" s="72"/>
    </row>
    <row r="645" spans="15:15" x14ac:dyDescent="0.35">
      <c r="O645" s="72"/>
    </row>
    <row r="646" spans="15:15" x14ac:dyDescent="0.35">
      <c r="O646" s="72"/>
    </row>
    <row r="647" spans="15:15" x14ac:dyDescent="0.35">
      <c r="O647" s="72"/>
    </row>
    <row r="648" spans="15:15" x14ac:dyDescent="0.35">
      <c r="O648" s="72"/>
    </row>
    <row r="649" spans="15:15" x14ac:dyDescent="0.35">
      <c r="O649" s="72"/>
    </row>
    <row r="650" spans="15:15" x14ac:dyDescent="0.35">
      <c r="O650" s="72"/>
    </row>
    <row r="651" spans="15:15" x14ac:dyDescent="0.35">
      <c r="O651" s="72"/>
    </row>
    <row r="652" spans="15:15" x14ac:dyDescent="0.35">
      <c r="O652" s="72"/>
    </row>
    <row r="653" spans="15:15" x14ac:dyDescent="0.35">
      <c r="O653" s="72"/>
    </row>
    <row r="654" spans="15:15" x14ac:dyDescent="0.35">
      <c r="O654" s="72"/>
    </row>
    <row r="655" spans="15:15" x14ac:dyDescent="0.35">
      <c r="O655" s="72"/>
    </row>
    <row r="656" spans="15:15" x14ac:dyDescent="0.35">
      <c r="O656" s="72"/>
    </row>
    <row r="657" spans="15:15" x14ac:dyDescent="0.35">
      <c r="O657" s="72"/>
    </row>
    <row r="658" spans="15:15" x14ac:dyDescent="0.35">
      <c r="O658" s="72"/>
    </row>
    <row r="659" spans="15:15" x14ac:dyDescent="0.35">
      <c r="O659" s="72"/>
    </row>
    <row r="660" spans="15:15" x14ac:dyDescent="0.35">
      <c r="O660" s="72"/>
    </row>
    <row r="661" spans="15:15" x14ac:dyDescent="0.35">
      <c r="O661" s="72"/>
    </row>
    <row r="662" spans="15:15" x14ac:dyDescent="0.35">
      <c r="O662" s="72"/>
    </row>
    <row r="663" spans="15:15" x14ac:dyDescent="0.35">
      <c r="O663" s="72"/>
    </row>
    <row r="664" spans="15:15" x14ac:dyDescent="0.35">
      <c r="O664" s="72"/>
    </row>
    <row r="665" spans="15:15" x14ac:dyDescent="0.35">
      <c r="O665" s="72"/>
    </row>
    <row r="666" spans="15:15" x14ac:dyDescent="0.35">
      <c r="O666" s="72"/>
    </row>
    <row r="667" spans="15:15" x14ac:dyDescent="0.35">
      <c r="O667" s="72"/>
    </row>
    <row r="668" spans="15:15" x14ac:dyDescent="0.35">
      <c r="O668" s="72"/>
    </row>
    <row r="669" spans="15:15" x14ac:dyDescent="0.35">
      <c r="O669" s="72"/>
    </row>
    <row r="670" spans="15:15" x14ac:dyDescent="0.35">
      <c r="O670" s="72"/>
    </row>
    <row r="671" spans="15:15" x14ac:dyDescent="0.35">
      <c r="O671" s="72"/>
    </row>
    <row r="672" spans="15:15" x14ac:dyDescent="0.35">
      <c r="O672" s="72"/>
    </row>
    <row r="673" spans="15:15" x14ac:dyDescent="0.35">
      <c r="O673" s="72"/>
    </row>
    <row r="674" spans="15:15" x14ac:dyDescent="0.35">
      <c r="O674" s="72"/>
    </row>
    <row r="675" spans="15:15" x14ac:dyDescent="0.35">
      <c r="O675" s="72"/>
    </row>
    <row r="676" spans="15:15" x14ac:dyDescent="0.35">
      <c r="O676" s="72"/>
    </row>
    <row r="677" spans="15:15" x14ac:dyDescent="0.35">
      <c r="O677" s="72"/>
    </row>
    <row r="678" spans="15:15" x14ac:dyDescent="0.35">
      <c r="O678" s="72"/>
    </row>
    <row r="679" spans="15:15" x14ac:dyDescent="0.35">
      <c r="O679" s="72"/>
    </row>
    <row r="680" spans="15:15" x14ac:dyDescent="0.35">
      <c r="O680" s="72"/>
    </row>
    <row r="681" spans="15:15" x14ac:dyDescent="0.35">
      <c r="O681" s="72"/>
    </row>
    <row r="682" spans="15:15" x14ac:dyDescent="0.35">
      <c r="O682" s="72"/>
    </row>
    <row r="683" spans="15:15" x14ac:dyDescent="0.35">
      <c r="O683" s="72"/>
    </row>
    <row r="684" spans="15:15" x14ac:dyDescent="0.35">
      <c r="O684" s="72"/>
    </row>
    <row r="685" spans="15:15" x14ac:dyDescent="0.35">
      <c r="O685" s="72"/>
    </row>
    <row r="686" spans="15:15" x14ac:dyDescent="0.35">
      <c r="O686" s="72"/>
    </row>
    <row r="687" spans="15:15" x14ac:dyDescent="0.35">
      <c r="O687" s="72"/>
    </row>
    <row r="688" spans="15:15" x14ac:dyDescent="0.35">
      <c r="O688" s="72"/>
    </row>
    <row r="689" spans="15:15" x14ac:dyDescent="0.35">
      <c r="O689" s="72"/>
    </row>
    <row r="690" spans="15:15" x14ac:dyDescent="0.35">
      <c r="O690" s="72"/>
    </row>
    <row r="691" spans="15:15" x14ac:dyDescent="0.35">
      <c r="O691" s="72"/>
    </row>
    <row r="692" spans="15:15" x14ac:dyDescent="0.35">
      <c r="O692" s="72"/>
    </row>
    <row r="693" spans="15:15" x14ac:dyDescent="0.35">
      <c r="O693" s="72"/>
    </row>
    <row r="694" spans="15:15" x14ac:dyDescent="0.35">
      <c r="O694" s="72"/>
    </row>
    <row r="695" spans="15:15" x14ac:dyDescent="0.35">
      <c r="O695" s="72"/>
    </row>
    <row r="696" spans="15:15" x14ac:dyDescent="0.35">
      <c r="O696" s="72"/>
    </row>
    <row r="697" spans="15:15" x14ac:dyDescent="0.35">
      <c r="O697" s="72"/>
    </row>
    <row r="698" spans="15:15" x14ac:dyDescent="0.35">
      <c r="O698" s="72"/>
    </row>
    <row r="699" spans="15:15" x14ac:dyDescent="0.35">
      <c r="O699" s="72"/>
    </row>
    <row r="700" spans="15:15" x14ac:dyDescent="0.35">
      <c r="O700" s="72"/>
    </row>
    <row r="701" spans="15:15" x14ac:dyDescent="0.35">
      <c r="O701" s="72"/>
    </row>
    <row r="702" spans="15:15" x14ac:dyDescent="0.35">
      <c r="O702" s="72"/>
    </row>
    <row r="703" spans="15:15" x14ac:dyDescent="0.35">
      <c r="O703" s="72"/>
    </row>
    <row r="704" spans="15:15" x14ac:dyDescent="0.35">
      <c r="O704" s="72"/>
    </row>
    <row r="705" spans="15:15" x14ac:dyDescent="0.35">
      <c r="O705" s="72"/>
    </row>
    <row r="706" spans="15:15" x14ac:dyDescent="0.35">
      <c r="O706" s="72"/>
    </row>
    <row r="707" spans="15:15" x14ac:dyDescent="0.35">
      <c r="O707" s="72"/>
    </row>
    <row r="708" spans="15:15" x14ac:dyDescent="0.35">
      <c r="O708" s="72"/>
    </row>
    <row r="709" spans="15:15" x14ac:dyDescent="0.35">
      <c r="O709" s="72"/>
    </row>
    <row r="710" spans="15:15" x14ac:dyDescent="0.35">
      <c r="O710" s="72"/>
    </row>
    <row r="711" spans="15:15" x14ac:dyDescent="0.35">
      <c r="O711" s="72"/>
    </row>
    <row r="712" spans="15:15" x14ac:dyDescent="0.35">
      <c r="O712" s="72"/>
    </row>
    <row r="713" spans="15:15" x14ac:dyDescent="0.35">
      <c r="O713" s="72"/>
    </row>
    <row r="714" spans="15:15" x14ac:dyDescent="0.35">
      <c r="O714" s="72"/>
    </row>
    <row r="715" spans="15:15" x14ac:dyDescent="0.35">
      <c r="O715" s="72"/>
    </row>
    <row r="716" spans="15:15" x14ac:dyDescent="0.35">
      <c r="O716" s="72"/>
    </row>
    <row r="717" spans="15:15" x14ac:dyDescent="0.35">
      <c r="O717" s="72"/>
    </row>
    <row r="718" spans="15:15" x14ac:dyDescent="0.35">
      <c r="O718" s="72"/>
    </row>
    <row r="719" spans="15:15" x14ac:dyDescent="0.35">
      <c r="O719" s="72"/>
    </row>
    <row r="720" spans="15:15" x14ac:dyDescent="0.35">
      <c r="O720" s="72"/>
    </row>
    <row r="721" spans="15:15" x14ac:dyDescent="0.35">
      <c r="O721" s="72"/>
    </row>
    <row r="722" spans="15:15" x14ac:dyDescent="0.35">
      <c r="O722" s="72"/>
    </row>
    <row r="723" spans="15:15" x14ac:dyDescent="0.35">
      <c r="O723" s="72"/>
    </row>
    <row r="724" spans="15:15" x14ac:dyDescent="0.35">
      <c r="O724" s="72"/>
    </row>
    <row r="725" spans="15:15" x14ac:dyDescent="0.35">
      <c r="O725" s="72"/>
    </row>
    <row r="726" spans="15:15" x14ac:dyDescent="0.35">
      <c r="O726" s="72"/>
    </row>
    <row r="727" spans="15:15" x14ac:dyDescent="0.35">
      <c r="O727" s="72"/>
    </row>
    <row r="728" spans="15:15" x14ac:dyDescent="0.35">
      <c r="O728" s="72"/>
    </row>
    <row r="729" spans="15:15" x14ac:dyDescent="0.35">
      <c r="O729" s="72"/>
    </row>
    <row r="730" spans="15:15" x14ac:dyDescent="0.35">
      <c r="O730" s="7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5017-6A77-48F3-9313-ED4FEFC9B76B}">
  <sheetPr>
    <tabColor rgb="FF92D050"/>
  </sheetPr>
  <dimension ref="A1:I12"/>
  <sheetViews>
    <sheetView workbookViewId="0">
      <selection activeCell="C7" sqref="C7"/>
    </sheetView>
  </sheetViews>
  <sheetFormatPr baseColWidth="10" defaultRowHeight="14.5" x14ac:dyDescent="0.35"/>
  <cols>
    <col min="2" max="2" width="16.36328125" bestFit="1" customWidth="1"/>
    <col min="3" max="7" width="11.26953125" bestFit="1" customWidth="1"/>
  </cols>
  <sheetData>
    <row r="1" spans="1:9" ht="18.5" x14ac:dyDescent="0.45">
      <c r="A1" s="64" t="s">
        <v>595</v>
      </c>
      <c r="C1" s="109" t="s">
        <v>599</v>
      </c>
      <c r="D1" s="109"/>
      <c r="E1" s="109"/>
      <c r="F1" s="109"/>
      <c r="G1" s="109"/>
      <c r="H1" s="109"/>
      <c r="I1" s="109"/>
    </row>
    <row r="2" spans="1:9" x14ac:dyDescent="0.35">
      <c r="C2" s="109"/>
      <c r="D2" s="109"/>
      <c r="E2" s="109"/>
      <c r="F2" s="109"/>
      <c r="G2" s="109"/>
      <c r="H2" s="109"/>
      <c r="I2" s="109"/>
    </row>
    <row r="3" spans="1:9" x14ac:dyDescent="0.35">
      <c r="C3" s="80"/>
      <c r="D3" s="80"/>
      <c r="E3" s="80"/>
      <c r="F3" s="80"/>
      <c r="G3" s="80"/>
      <c r="H3" s="80"/>
      <c r="I3" s="80"/>
    </row>
    <row r="4" spans="1:9" x14ac:dyDescent="0.35">
      <c r="A4" s="62"/>
      <c r="B4" s="62"/>
      <c r="C4" s="106" t="s">
        <v>597</v>
      </c>
      <c r="D4" s="107"/>
      <c r="E4" s="107"/>
      <c r="F4" s="107"/>
      <c r="G4" s="108"/>
    </row>
    <row r="5" spans="1:9" x14ac:dyDescent="0.35">
      <c r="A5" s="103" t="s">
        <v>598</v>
      </c>
      <c r="B5" s="62" t="s">
        <v>596</v>
      </c>
      <c r="C5" s="62">
        <v>0</v>
      </c>
      <c r="D5" s="62">
        <v>50</v>
      </c>
      <c r="E5" s="62">
        <v>100</v>
      </c>
      <c r="F5" s="62">
        <v>150</v>
      </c>
      <c r="G5" s="62">
        <v>200</v>
      </c>
    </row>
    <row r="6" spans="1:9" x14ac:dyDescent="0.35">
      <c r="A6" s="104"/>
      <c r="B6" s="67">
        <v>-0.2</v>
      </c>
      <c r="C6" s="79" cm="1">
        <f t="array" ref="C6">SUM('Kunde-SLP_Tagesmodell'!$K$2:$K$366)-SUM('Kunde-SLP_Tagesmodell'!$P$2:$P$366)-SUM('Kunde-SLP_Tagesmodell'!$Q$2:$Q$366)-SUMPRODUCT(ABS('Kunde-SLP_Tagesmodell'!$I$2:$I$366*$B6),('Kunde-SLP_Tagesmodell'!$O$2:$O$366+Annahmen!$B$10+'Kunde-SLP_Tagesmodell'!$T$2:$T$366*C$5))</f>
        <v>144080.53975211916</v>
      </c>
      <c r="D6" s="79" cm="1">
        <f t="array" ref="D6">SUM('Kunde-SLP_Tagesmodell'!$K$2:$K$366)-SUM('Kunde-SLP_Tagesmodell'!$P$2:$P$366)-SUM('Kunde-SLP_Tagesmodell'!$Q$2:$Q$366)-SUMPRODUCT(ABS('Kunde-SLP_Tagesmodell'!$I$2:$I$366*$B6),('Kunde-SLP_Tagesmodell'!$O$2:$O$366+Annahmen!$B$10+'Kunde-SLP_Tagesmodell'!$T$2:$T$366*D$5))</f>
        <v>138537.79645122361</v>
      </c>
      <c r="E6" s="79" cm="1">
        <f t="array" ref="E6">SUM('Kunde-SLP_Tagesmodell'!$K$2:$K$366)-SUM('Kunde-SLP_Tagesmodell'!$P$2:$P$366)-SUM('Kunde-SLP_Tagesmodell'!$Q$2:$Q$366)-SUMPRODUCT(ABS('Kunde-SLP_Tagesmodell'!$I$2:$I$366*$B6),('Kunde-SLP_Tagesmodell'!$O$2:$O$366+Annahmen!$B$10+'Kunde-SLP_Tagesmodell'!$T$2:$T$366*E$5))</f>
        <v>132995.05315032805</v>
      </c>
      <c r="F6" s="79" cm="1">
        <f t="array" ref="F6">SUM('Kunde-SLP_Tagesmodell'!$K$2:$K$366)-SUM('Kunde-SLP_Tagesmodell'!$P$2:$P$366)-SUM('Kunde-SLP_Tagesmodell'!$Q$2:$Q$366)-SUMPRODUCT(ABS('Kunde-SLP_Tagesmodell'!$I$2:$I$366*$B6),('Kunde-SLP_Tagesmodell'!$O$2:$O$366+Annahmen!$B$10+'Kunde-SLP_Tagesmodell'!$T$2:$T$366*F$5))</f>
        <v>127452.30984943244</v>
      </c>
      <c r="G6" s="79" cm="1">
        <f t="array" ref="G6">SUM('Kunde-SLP_Tagesmodell'!$K$2:$K$366)-SUM('Kunde-SLP_Tagesmodell'!$P$2:$P$366)-SUM('Kunde-SLP_Tagesmodell'!$Q$2:$Q$366)-SUMPRODUCT(ABS('Kunde-SLP_Tagesmodell'!$I$2:$I$366*$B6),('Kunde-SLP_Tagesmodell'!$O$2:$O$366+Annahmen!$B$10+'Kunde-SLP_Tagesmodell'!$T$2:$T$366*G$5))</f>
        <v>121909.56654853685</v>
      </c>
    </row>
    <row r="7" spans="1:9" x14ac:dyDescent="0.35">
      <c r="A7" s="104"/>
      <c r="B7" s="67">
        <v>-0.1</v>
      </c>
      <c r="C7" s="79" cm="1">
        <f t="array" ref="C7">SUM('Kunde-SLP_Tagesmodell'!$K$2:$K$366)-SUM('Kunde-SLP_Tagesmodell'!$P$2:$P$366)-SUM('Kunde-SLP_Tagesmodell'!$Q$2:$Q$366)-SUMPRODUCT(ABS('Kunde-SLP_Tagesmodell'!$I$2:$I$366*$B7),('Kunde-SLP_Tagesmodell'!$O$2:$O$366+Annahmen!$B$10+'Kunde-SLP_Tagesmodell'!$T$2:$T$366*C$5))</f>
        <v>193149.45367135192</v>
      </c>
      <c r="D7" s="79" cm="1">
        <f t="array" ref="D7">SUM('Kunde-SLP_Tagesmodell'!$K$2:$K$366)-SUM('Kunde-SLP_Tagesmodell'!$P$2:$P$366)-SUM('Kunde-SLP_Tagesmodell'!$Q$2:$Q$366)-SUMPRODUCT(ABS('Kunde-SLP_Tagesmodell'!$I$2:$I$366*$B7),('Kunde-SLP_Tagesmodell'!$O$2:$O$366+Annahmen!$B$10+'Kunde-SLP_Tagesmodell'!$T$2:$T$366*D$5))</f>
        <v>190378.08202090414</v>
      </c>
      <c r="E7" s="79" cm="1">
        <f t="array" ref="E7">SUM('Kunde-SLP_Tagesmodell'!$K$2:$K$366)-SUM('Kunde-SLP_Tagesmodell'!$P$2:$P$366)-SUM('Kunde-SLP_Tagesmodell'!$Q$2:$Q$366)-SUMPRODUCT(ABS('Kunde-SLP_Tagesmodell'!$I$2:$I$366*$B7),('Kunde-SLP_Tagesmodell'!$O$2:$O$366+Annahmen!$B$10+'Kunde-SLP_Tagesmodell'!$T$2:$T$366*E$5))</f>
        <v>187606.71037045636</v>
      </c>
      <c r="F7" s="79" cm="1">
        <f t="array" ref="F7">SUM('Kunde-SLP_Tagesmodell'!$K$2:$K$366)-SUM('Kunde-SLP_Tagesmodell'!$P$2:$P$366)-SUM('Kunde-SLP_Tagesmodell'!$Q$2:$Q$366)-SUMPRODUCT(ABS('Kunde-SLP_Tagesmodell'!$I$2:$I$366*$B7),('Kunde-SLP_Tagesmodell'!$O$2:$O$366+Annahmen!$B$10+'Kunde-SLP_Tagesmodell'!$T$2:$T$366*F$5))</f>
        <v>184835.33872000856</v>
      </c>
      <c r="G7" s="79" cm="1">
        <f t="array" ref="G7">SUM('Kunde-SLP_Tagesmodell'!$K$2:$K$366)-SUM('Kunde-SLP_Tagesmodell'!$P$2:$P$366)-SUM('Kunde-SLP_Tagesmodell'!$Q$2:$Q$366)-SUMPRODUCT(ABS('Kunde-SLP_Tagesmodell'!$I$2:$I$366*$B7),('Kunde-SLP_Tagesmodell'!$O$2:$O$366+Annahmen!$B$10+'Kunde-SLP_Tagesmodell'!$T$2:$T$366*G$5))</f>
        <v>182063.96706956075</v>
      </c>
    </row>
    <row r="8" spans="1:9" x14ac:dyDescent="0.35">
      <c r="A8" s="104"/>
      <c r="B8" s="67">
        <v>-0.05</v>
      </c>
      <c r="C8" s="79" cm="1">
        <f t="array" ref="C8">SUM('Kunde-SLP_Tagesmodell'!$K$2:$K$366)-SUM('Kunde-SLP_Tagesmodell'!$P$2:$P$366)-SUM('Kunde-SLP_Tagesmodell'!$Q$2:$Q$366)-SUMPRODUCT(ABS('Kunde-SLP_Tagesmodell'!$I$2:$I$366*$B8),('Kunde-SLP_Tagesmodell'!$O$2:$O$366+Annahmen!$B$10+'Kunde-SLP_Tagesmodell'!$T$2:$T$366*C$5))</f>
        <v>217683.91063096828</v>
      </c>
      <c r="D8" s="79" cm="1">
        <f t="array" ref="D8">SUM('Kunde-SLP_Tagesmodell'!$K$2:$K$366)-SUM('Kunde-SLP_Tagesmodell'!$P$2:$P$366)-SUM('Kunde-SLP_Tagesmodell'!$Q$2:$Q$366)-SUMPRODUCT(ABS('Kunde-SLP_Tagesmodell'!$I$2:$I$366*$B8),('Kunde-SLP_Tagesmodell'!$O$2:$O$366+Annahmen!$B$10+'Kunde-SLP_Tagesmodell'!$T$2:$T$366*D$5))</f>
        <v>216298.22480574439</v>
      </c>
      <c r="E8" s="79" cm="1">
        <f t="array" ref="E8">SUM('Kunde-SLP_Tagesmodell'!$K$2:$K$366)-SUM('Kunde-SLP_Tagesmodell'!$P$2:$P$366)-SUM('Kunde-SLP_Tagesmodell'!$Q$2:$Q$366)-SUMPRODUCT(ABS('Kunde-SLP_Tagesmodell'!$I$2:$I$366*$B8),('Kunde-SLP_Tagesmodell'!$O$2:$O$366+Annahmen!$B$10+'Kunde-SLP_Tagesmodell'!$T$2:$T$366*E$5))</f>
        <v>214912.5389805205</v>
      </c>
      <c r="F8" s="79" cm="1">
        <f t="array" ref="F8">SUM('Kunde-SLP_Tagesmodell'!$K$2:$K$366)-SUM('Kunde-SLP_Tagesmodell'!$P$2:$P$366)-SUM('Kunde-SLP_Tagesmodell'!$Q$2:$Q$366)-SUMPRODUCT(ABS('Kunde-SLP_Tagesmodell'!$I$2:$I$366*$B8),('Kunde-SLP_Tagesmodell'!$O$2:$O$366+Annahmen!$B$10+'Kunde-SLP_Tagesmodell'!$T$2:$T$366*F$5))</f>
        <v>213526.85315529659</v>
      </c>
      <c r="G8" s="79" cm="1">
        <f t="array" ref="G8">SUM('Kunde-SLP_Tagesmodell'!$K$2:$K$366)-SUM('Kunde-SLP_Tagesmodell'!$P$2:$P$366)-SUM('Kunde-SLP_Tagesmodell'!$Q$2:$Q$366)-SUMPRODUCT(ABS('Kunde-SLP_Tagesmodell'!$I$2:$I$366*$B8),('Kunde-SLP_Tagesmodell'!$O$2:$O$366+Annahmen!$B$10+'Kunde-SLP_Tagesmodell'!$T$2:$T$366*G$5))</f>
        <v>212141.1673300727</v>
      </c>
    </row>
    <row r="9" spans="1:9" x14ac:dyDescent="0.35">
      <c r="A9" s="104"/>
      <c r="B9" s="67">
        <v>0</v>
      </c>
      <c r="C9" s="79" cm="1">
        <f t="array" ref="C9">SUM('Kunde-SLP_Tagesmodell'!$K$2:$K$366)-SUM('Kunde-SLP_Tagesmodell'!$P$2:$P$366)-SUM('Kunde-SLP_Tagesmodell'!$Q$2:$Q$366)-SUMPRODUCT(ABS('Kunde-SLP_Tagesmodell'!$I$2:$I$366*$B9),('Kunde-SLP_Tagesmodell'!$O$2:$O$366+Annahmen!$B$10+'Kunde-SLP_Tagesmodell'!$T$2:$T$366*C$5))</f>
        <v>242218.36759058465</v>
      </c>
      <c r="D9" s="79" cm="1">
        <f t="array" ref="D9">SUM('Kunde-SLP_Tagesmodell'!$K$2:$K$366)-SUM('Kunde-SLP_Tagesmodell'!$P$2:$P$366)-SUM('Kunde-SLP_Tagesmodell'!$Q$2:$Q$366)-SUMPRODUCT(ABS('Kunde-SLP_Tagesmodell'!$I$2:$I$366*$B9),('Kunde-SLP_Tagesmodell'!$O$2:$O$366+Annahmen!$B$10+'Kunde-SLP_Tagesmodell'!$T$2:$T$366*D$5))</f>
        <v>242218.36759058465</v>
      </c>
      <c r="E9" s="79" cm="1">
        <f t="array" ref="E9">SUM('Kunde-SLP_Tagesmodell'!$K$2:$K$366)-SUM('Kunde-SLP_Tagesmodell'!$P$2:$P$366)-SUM('Kunde-SLP_Tagesmodell'!$Q$2:$Q$366)-SUMPRODUCT(ABS('Kunde-SLP_Tagesmodell'!$I$2:$I$366*$B9),('Kunde-SLP_Tagesmodell'!$O$2:$O$366+Annahmen!$B$10+'Kunde-SLP_Tagesmodell'!$T$2:$T$366*E$5))</f>
        <v>242218.36759058465</v>
      </c>
      <c r="F9" s="79" cm="1">
        <f t="array" ref="F9">SUM('Kunde-SLP_Tagesmodell'!$K$2:$K$366)-SUM('Kunde-SLP_Tagesmodell'!$P$2:$P$366)-SUM('Kunde-SLP_Tagesmodell'!$Q$2:$Q$366)-SUMPRODUCT(ABS('Kunde-SLP_Tagesmodell'!$I$2:$I$366*$B9),('Kunde-SLP_Tagesmodell'!$O$2:$O$366+Annahmen!$B$10+'Kunde-SLP_Tagesmodell'!$T$2:$T$366*F$5))</f>
        <v>242218.36759058465</v>
      </c>
      <c r="G9" s="79" cm="1">
        <f t="array" ref="G9">SUM('Kunde-SLP_Tagesmodell'!$K$2:$K$366)-SUM('Kunde-SLP_Tagesmodell'!$P$2:$P$366)-SUM('Kunde-SLP_Tagesmodell'!$Q$2:$Q$366)-SUMPRODUCT(ABS('Kunde-SLP_Tagesmodell'!$I$2:$I$366*$B9),('Kunde-SLP_Tagesmodell'!$O$2:$O$366+Annahmen!$B$10+'Kunde-SLP_Tagesmodell'!$T$2:$T$366*G$5))</f>
        <v>242218.36759058465</v>
      </c>
    </row>
    <row r="10" spans="1:9" x14ac:dyDescent="0.35">
      <c r="A10" s="104"/>
      <c r="B10" s="67">
        <v>0.05</v>
      </c>
      <c r="C10" s="79" cm="1">
        <f t="array" ref="C10">SUM('Kunde-SLP_Tagesmodell'!$K$2:$K$366)-SUM('Kunde-SLP_Tagesmodell'!$P$2:$P$366)-SUM('Kunde-SLP_Tagesmodell'!$Q$2:$Q$366)-SUMPRODUCT(ABS('Kunde-SLP_Tagesmodell'!$I$2:$I$366*$B10),('Kunde-SLP_Tagesmodell'!$O$2:$O$366+Annahmen!$B$10+'Kunde-SLP_Tagesmodell'!$T$2:$T$366*C$5))</f>
        <v>217683.91063096828</v>
      </c>
      <c r="D10" s="79" cm="1">
        <f t="array" ref="D10">SUM('Kunde-SLP_Tagesmodell'!$K$2:$K$366)-SUM('Kunde-SLP_Tagesmodell'!$P$2:$P$366)-SUM('Kunde-SLP_Tagesmodell'!$Q$2:$Q$366)-SUMPRODUCT(ABS('Kunde-SLP_Tagesmodell'!$I$2:$I$366*$B10),('Kunde-SLP_Tagesmodell'!$O$2:$O$366+Annahmen!$B$10+'Kunde-SLP_Tagesmodell'!$T$2:$T$366*D$5))</f>
        <v>216298.22480574439</v>
      </c>
      <c r="E10" s="79" cm="1">
        <f t="array" ref="E10">SUM('Kunde-SLP_Tagesmodell'!$K$2:$K$366)-SUM('Kunde-SLP_Tagesmodell'!$P$2:$P$366)-SUM('Kunde-SLP_Tagesmodell'!$Q$2:$Q$366)-SUMPRODUCT(ABS('Kunde-SLP_Tagesmodell'!$I$2:$I$366*$B10),('Kunde-SLP_Tagesmodell'!$O$2:$O$366+Annahmen!$B$10+'Kunde-SLP_Tagesmodell'!$T$2:$T$366*E$5))</f>
        <v>214912.5389805205</v>
      </c>
      <c r="F10" s="79" cm="1">
        <f t="array" ref="F10">SUM('Kunde-SLP_Tagesmodell'!$K$2:$K$366)-SUM('Kunde-SLP_Tagesmodell'!$P$2:$P$366)-SUM('Kunde-SLP_Tagesmodell'!$Q$2:$Q$366)-SUMPRODUCT(ABS('Kunde-SLP_Tagesmodell'!$I$2:$I$366*$B10),('Kunde-SLP_Tagesmodell'!$O$2:$O$366+Annahmen!$B$10+'Kunde-SLP_Tagesmodell'!$T$2:$T$366*F$5))</f>
        <v>213526.85315529659</v>
      </c>
      <c r="G10" s="79" cm="1">
        <f t="array" ref="G10">SUM('Kunde-SLP_Tagesmodell'!$K$2:$K$366)-SUM('Kunde-SLP_Tagesmodell'!$P$2:$P$366)-SUM('Kunde-SLP_Tagesmodell'!$Q$2:$Q$366)-SUMPRODUCT(ABS('Kunde-SLP_Tagesmodell'!$I$2:$I$366*$B10),('Kunde-SLP_Tagesmodell'!$O$2:$O$366+Annahmen!$B$10+'Kunde-SLP_Tagesmodell'!$T$2:$T$366*G$5))</f>
        <v>212141.1673300727</v>
      </c>
    </row>
    <row r="11" spans="1:9" x14ac:dyDescent="0.35">
      <c r="A11" s="104"/>
      <c r="B11" s="67">
        <v>0.1</v>
      </c>
      <c r="C11" s="79" cm="1">
        <f t="array" ref="C11">SUM('Kunde-SLP_Tagesmodell'!$K$2:$K$366)-SUM('Kunde-SLP_Tagesmodell'!$P$2:$P$366)-SUM('Kunde-SLP_Tagesmodell'!$Q$2:$Q$366)-SUMPRODUCT(ABS('Kunde-SLP_Tagesmodell'!$I$2:$I$366*$B11),('Kunde-SLP_Tagesmodell'!$O$2:$O$366+Annahmen!$B$10+'Kunde-SLP_Tagesmodell'!$T$2:$T$366*C$5))</f>
        <v>193149.45367135192</v>
      </c>
      <c r="D11" s="79" cm="1">
        <f t="array" ref="D11">SUM('Kunde-SLP_Tagesmodell'!$K$2:$K$366)-SUM('Kunde-SLP_Tagesmodell'!$P$2:$P$366)-SUM('Kunde-SLP_Tagesmodell'!$Q$2:$Q$366)-SUMPRODUCT(ABS('Kunde-SLP_Tagesmodell'!$I$2:$I$366*$B11),('Kunde-SLP_Tagesmodell'!$O$2:$O$366+Annahmen!$B$10+'Kunde-SLP_Tagesmodell'!$T$2:$T$366*D$5))</f>
        <v>190378.08202090414</v>
      </c>
      <c r="E11" s="79" cm="1">
        <f t="array" ref="E11">SUM('Kunde-SLP_Tagesmodell'!$K$2:$K$366)-SUM('Kunde-SLP_Tagesmodell'!$P$2:$P$366)-SUM('Kunde-SLP_Tagesmodell'!$Q$2:$Q$366)-SUMPRODUCT(ABS('Kunde-SLP_Tagesmodell'!$I$2:$I$366*$B11),('Kunde-SLP_Tagesmodell'!$O$2:$O$366+Annahmen!$B$10+'Kunde-SLP_Tagesmodell'!$T$2:$T$366*E$5))</f>
        <v>187606.71037045636</v>
      </c>
      <c r="F11" s="79" cm="1">
        <f t="array" ref="F11">SUM('Kunde-SLP_Tagesmodell'!$K$2:$K$366)-SUM('Kunde-SLP_Tagesmodell'!$P$2:$P$366)-SUM('Kunde-SLP_Tagesmodell'!$Q$2:$Q$366)-SUMPRODUCT(ABS('Kunde-SLP_Tagesmodell'!$I$2:$I$366*$B11),('Kunde-SLP_Tagesmodell'!$O$2:$O$366+Annahmen!$B$10+'Kunde-SLP_Tagesmodell'!$T$2:$T$366*F$5))</f>
        <v>184835.33872000856</v>
      </c>
      <c r="G11" s="79" cm="1">
        <f t="array" ref="G11">SUM('Kunde-SLP_Tagesmodell'!$K$2:$K$366)-SUM('Kunde-SLP_Tagesmodell'!$P$2:$P$366)-SUM('Kunde-SLP_Tagesmodell'!$Q$2:$Q$366)-SUMPRODUCT(ABS('Kunde-SLP_Tagesmodell'!$I$2:$I$366*$B11),('Kunde-SLP_Tagesmodell'!$O$2:$O$366+Annahmen!$B$10+'Kunde-SLP_Tagesmodell'!$T$2:$T$366*G$5))</f>
        <v>182063.96706956075</v>
      </c>
    </row>
    <row r="12" spans="1:9" x14ac:dyDescent="0.35">
      <c r="A12" s="105"/>
      <c r="B12" s="67">
        <v>0.2</v>
      </c>
      <c r="C12" s="79" cm="1">
        <f t="array" ref="C12">SUM('Kunde-SLP_Tagesmodell'!$K$2:$K$366)-SUM('Kunde-SLP_Tagesmodell'!$P$2:$P$366)-SUM('Kunde-SLP_Tagesmodell'!$Q$2:$Q$366)-SUMPRODUCT(ABS('Kunde-SLP_Tagesmodell'!$I$2:$I$366*$B12),('Kunde-SLP_Tagesmodell'!$O$2:$O$366+Annahmen!$B$10+'Kunde-SLP_Tagesmodell'!$T$2:$T$366*C$5))</f>
        <v>144080.53975211916</v>
      </c>
      <c r="D12" s="79" cm="1">
        <f t="array" ref="D12">SUM('Kunde-SLP_Tagesmodell'!$K$2:$K$366)-SUM('Kunde-SLP_Tagesmodell'!$P$2:$P$366)-SUM('Kunde-SLP_Tagesmodell'!$Q$2:$Q$366)-SUMPRODUCT(ABS('Kunde-SLP_Tagesmodell'!$I$2:$I$366*$B12),('Kunde-SLP_Tagesmodell'!$O$2:$O$366+Annahmen!$B$10+'Kunde-SLP_Tagesmodell'!$T$2:$T$366*D$5))</f>
        <v>138537.79645122361</v>
      </c>
      <c r="E12" s="79" cm="1">
        <f t="array" ref="E12">SUM('Kunde-SLP_Tagesmodell'!$K$2:$K$366)-SUM('Kunde-SLP_Tagesmodell'!$P$2:$P$366)-SUM('Kunde-SLP_Tagesmodell'!$Q$2:$Q$366)-SUMPRODUCT(ABS('Kunde-SLP_Tagesmodell'!$I$2:$I$366*$B12),('Kunde-SLP_Tagesmodell'!$O$2:$O$366+Annahmen!$B$10+'Kunde-SLP_Tagesmodell'!$T$2:$T$366*E$5))</f>
        <v>132995.05315032805</v>
      </c>
      <c r="F12" s="79" cm="1">
        <f t="array" ref="F12">SUM('Kunde-SLP_Tagesmodell'!$K$2:$K$366)-SUM('Kunde-SLP_Tagesmodell'!$P$2:$P$366)-SUM('Kunde-SLP_Tagesmodell'!$Q$2:$Q$366)-SUMPRODUCT(ABS('Kunde-SLP_Tagesmodell'!$I$2:$I$366*$B12),('Kunde-SLP_Tagesmodell'!$O$2:$O$366+Annahmen!$B$10+'Kunde-SLP_Tagesmodell'!$T$2:$T$366*F$5))</f>
        <v>127452.30984943244</v>
      </c>
      <c r="G12" s="79" cm="1">
        <f t="array" ref="G12">SUM('Kunde-SLP_Tagesmodell'!$K$2:$K$366)-SUM('Kunde-SLP_Tagesmodell'!$P$2:$P$366)-SUM('Kunde-SLP_Tagesmodell'!$Q$2:$Q$366)-SUMPRODUCT(ABS('Kunde-SLP_Tagesmodell'!$I$2:$I$366*$B12),('Kunde-SLP_Tagesmodell'!$O$2:$O$366+Annahmen!$B$10+'Kunde-SLP_Tagesmodell'!$T$2:$T$366*G$5))</f>
        <v>121909.56654853685</v>
      </c>
    </row>
  </sheetData>
  <mergeCells count="3">
    <mergeCell ref="A5:A12"/>
    <mergeCell ref="C4:G4"/>
    <mergeCell ref="C1:I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ED00-3313-49D4-8877-A6DD5E85897E}">
  <sheetPr>
    <tabColor rgb="FF92D050"/>
  </sheetPr>
  <dimension ref="A1:G39"/>
  <sheetViews>
    <sheetView workbookViewId="0">
      <selection activeCell="G16" sqref="G16"/>
    </sheetView>
  </sheetViews>
  <sheetFormatPr baseColWidth="10" defaultRowHeight="14.5" x14ac:dyDescent="0.35"/>
  <cols>
    <col min="3" max="3" width="13.7265625" customWidth="1"/>
    <col min="4" max="4" width="16.36328125" customWidth="1"/>
  </cols>
  <sheetData>
    <row r="1" spans="1:7" ht="18.5" x14ac:dyDescent="0.45">
      <c r="A1" s="64" t="s">
        <v>147</v>
      </c>
      <c r="B1" s="64"/>
      <c r="C1" s="64"/>
      <c r="D1" s="64" t="s">
        <v>148</v>
      </c>
      <c r="E1" s="64"/>
      <c r="F1" s="64"/>
      <c r="G1" s="64"/>
    </row>
    <row r="3" spans="1:7" x14ac:dyDescent="0.35">
      <c r="A3" s="63" t="s">
        <v>107</v>
      </c>
      <c r="B3" s="63" t="s">
        <v>108</v>
      </c>
      <c r="C3" s="63" t="s">
        <v>109</v>
      </c>
      <c r="D3" s="63" t="s">
        <v>110</v>
      </c>
    </row>
    <row r="4" spans="1:7" x14ac:dyDescent="0.35">
      <c r="A4" s="62">
        <v>1</v>
      </c>
      <c r="B4" s="62" t="s">
        <v>8</v>
      </c>
      <c r="C4" s="62">
        <f>SUM(INDEX(Quelle_BDEW_H25!$5:$100,0,ROW()-1))</f>
        <v>2842.9610000000002</v>
      </c>
      <c r="D4" s="62" t="s">
        <v>111</v>
      </c>
    </row>
    <row r="5" spans="1:7" x14ac:dyDescent="0.35">
      <c r="A5" s="62">
        <v>1</v>
      </c>
      <c r="B5" s="62" t="s">
        <v>9</v>
      </c>
      <c r="C5" s="62">
        <f>SUM(INDEX(Quelle_BDEW_H25!$5:$100,0,ROW()-1))</f>
        <v>2903.0330000000008</v>
      </c>
      <c r="D5" s="62" t="s">
        <v>112</v>
      </c>
    </row>
    <row r="6" spans="1:7" x14ac:dyDescent="0.35">
      <c r="A6" s="62">
        <v>1</v>
      </c>
      <c r="B6" s="62" t="s">
        <v>10</v>
      </c>
      <c r="C6" s="62">
        <f>SUM(INDEX(Quelle_BDEW_H25!$5:$100,0,ROW()-1))</f>
        <v>2476.4499999999998</v>
      </c>
      <c r="D6" s="62" t="s">
        <v>113</v>
      </c>
    </row>
    <row r="7" spans="1:7" x14ac:dyDescent="0.35">
      <c r="A7" s="62">
        <v>2</v>
      </c>
      <c r="B7" s="62" t="s">
        <v>8</v>
      </c>
      <c r="C7" s="62">
        <f>SUM(INDEX(Quelle_BDEW_H25!$5:$100,0,ROW()-1))</f>
        <v>2844.567</v>
      </c>
      <c r="D7" s="62" t="s">
        <v>114</v>
      </c>
    </row>
    <row r="8" spans="1:7" x14ac:dyDescent="0.35">
      <c r="A8" s="62">
        <v>2</v>
      </c>
      <c r="B8" s="62" t="s">
        <v>9</v>
      </c>
      <c r="C8" s="62">
        <f>SUM(INDEX(Quelle_BDEW_H25!$5:$100,0,ROW()-1))</f>
        <v>2944.4780000000001</v>
      </c>
      <c r="D8" s="62" t="s">
        <v>115</v>
      </c>
    </row>
    <row r="9" spans="1:7" x14ac:dyDescent="0.35">
      <c r="A9" s="62">
        <v>2</v>
      </c>
      <c r="B9" s="62" t="s">
        <v>10</v>
      </c>
      <c r="C9" s="62">
        <f>SUM(INDEX(Quelle_BDEW_H25!$5:$100,0,ROW()-1))</f>
        <v>2448.5159999999996</v>
      </c>
      <c r="D9" s="62" t="s">
        <v>116</v>
      </c>
    </row>
    <row r="10" spans="1:7" x14ac:dyDescent="0.35">
      <c r="A10" s="62">
        <v>3</v>
      </c>
      <c r="B10" s="62" t="s">
        <v>8</v>
      </c>
      <c r="C10" s="62">
        <f>SUM(INDEX(Quelle_BDEW_H25!$5:$100,0,ROW()-1))</f>
        <v>2784.876999999999</v>
      </c>
      <c r="D10" s="62" t="s">
        <v>117</v>
      </c>
    </row>
    <row r="11" spans="1:7" x14ac:dyDescent="0.35">
      <c r="A11" s="62">
        <v>3</v>
      </c>
      <c r="B11" s="62" t="s">
        <v>9</v>
      </c>
      <c r="C11" s="62">
        <f>SUM(INDEX(Quelle_BDEW_H25!$5:$100,0,ROW()-1))</f>
        <v>2866.433</v>
      </c>
      <c r="D11" s="62" t="s">
        <v>118</v>
      </c>
    </row>
    <row r="12" spans="1:7" x14ac:dyDescent="0.35">
      <c r="A12" s="62">
        <v>3</v>
      </c>
      <c r="B12" s="62" t="s">
        <v>10</v>
      </c>
      <c r="C12" s="62">
        <f>SUM(INDEX(Quelle_BDEW_H25!$5:$100,0,ROW()-1))</f>
        <v>2398.8849999999993</v>
      </c>
      <c r="D12" s="62" t="s">
        <v>119</v>
      </c>
    </row>
    <row r="13" spans="1:7" x14ac:dyDescent="0.35">
      <c r="A13" s="62">
        <v>4</v>
      </c>
      <c r="B13" s="62" t="s">
        <v>8</v>
      </c>
      <c r="C13" s="62">
        <f>SUM(INDEX(Quelle_BDEW_H25!$5:$100,0,ROW()-1))</f>
        <v>2961.768</v>
      </c>
      <c r="D13" s="62" t="s">
        <v>120</v>
      </c>
    </row>
    <row r="14" spans="1:7" x14ac:dyDescent="0.35">
      <c r="A14" s="62">
        <v>4</v>
      </c>
      <c r="B14" s="62" t="s">
        <v>9</v>
      </c>
      <c r="C14" s="62">
        <f>SUM(INDEX(Quelle_BDEW_H25!$5:$100,0,ROW()-1))</f>
        <v>3047.3090000000016</v>
      </c>
      <c r="D14" s="62" t="s">
        <v>121</v>
      </c>
    </row>
    <row r="15" spans="1:7" x14ac:dyDescent="0.35">
      <c r="A15" s="62">
        <v>4</v>
      </c>
      <c r="B15" s="62" t="s">
        <v>10</v>
      </c>
      <c r="C15" s="62">
        <f>SUM(INDEX(Quelle_BDEW_H25!$5:$100,0,ROW()-1))</f>
        <v>2554.9519999999998</v>
      </c>
      <c r="D15" s="62" t="s">
        <v>122</v>
      </c>
    </row>
    <row r="16" spans="1:7" x14ac:dyDescent="0.35">
      <c r="A16" s="62">
        <v>5</v>
      </c>
      <c r="B16" s="62" t="s">
        <v>8</v>
      </c>
      <c r="C16" s="62">
        <f>SUM(INDEX(Quelle_BDEW_H25!$5:$100,0,ROW()-1))</f>
        <v>3024.4370000000013</v>
      </c>
      <c r="D16" s="62" t="s">
        <v>123</v>
      </c>
    </row>
    <row r="17" spans="1:4" x14ac:dyDescent="0.35">
      <c r="A17" s="62">
        <v>5</v>
      </c>
      <c r="B17" s="62" t="s">
        <v>9</v>
      </c>
      <c r="C17" s="62">
        <f>SUM(INDEX(Quelle_BDEW_H25!$5:$100,0,ROW()-1))</f>
        <v>3087.4540000000006</v>
      </c>
      <c r="D17" s="62" t="s">
        <v>124</v>
      </c>
    </row>
    <row r="18" spans="1:4" x14ac:dyDescent="0.35">
      <c r="A18" s="62">
        <v>5</v>
      </c>
      <c r="B18" s="62" t="s">
        <v>10</v>
      </c>
      <c r="C18" s="62">
        <f>SUM(INDEX(Quelle_BDEW_H25!$5:$100,0,ROW()-1))</f>
        <v>2632.0230000000001</v>
      </c>
      <c r="D18" s="62" t="s">
        <v>125</v>
      </c>
    </row>
    <row r="19" spans="1:4" x14ac:dyDescent="0.35">
      <c r="A19" s="62">
        <v>6</v>
      </c>
      <c r="B19" s="62" t="s">
        <v>8</v>
      </c>
      <c r="C19" s="62">
        <f>SUM(INDEX(Quelle_BDEW_H25!$5:$100,0,ROW()-1))</f>
        <v>3139.6210000000001</v>
      </c>
      <c r="D19" s="62" t="s">
        <v>126</v>
      </c>
    </row>
    <row r="20" spans="1:4" x14ac:dyDescent="0.35">
      <c r="A20" s="62">
        <v>6</v>
      </c>
      <c r="B20" s="62" t="s">
        <v>9</v>
      </c>
      <c r="C20" s="62">
        <f>SUM(INDEX(Quelle_BDEW_H25!$5:$100,0,ROW()-1))</f>
        <v>3216.2230000000009</v>
      </c>
      <c r="D20" s="62" t="s">
        <v>127</v>
      </c>
    </row>
    <row r="21" spans="1:4" x14ac:dyDescent="0.35">
      <c r="A21" s="62">
        <v>6</v>
      </c>
      <c r="B21" s="62" t="s">
        <v>10</v>
      </c>
      <c r="C21" s="62">
        <f>SUM(INDEX(Quelle_BDEW_H25!$5:$100,0,ROW()-1))</f>
        <v>2773.4300000000003</v>
      </c>
      <c r="D21" s="62" t="s">
        <v>128</v>
      </c>
    </row>
    <row r="22" spans="1:4" x14ac:dyDescent="0.35">
      <c r="A22" s="62">
        <v>7</v>
      </c>
      <c r="B22" s="62" t="s">
        <v>8</v>
      </c>
      <c r="C22" s="62">
        <f>SUM(INDEX(Quelle_BDEW_H25!$5:$100,0,ROW()-1))</f>
        <v>3277.9329999999995</v>
      </c>
      <c r="D22" s="62" t="s">
        <v>129</v>
      </c>
    </row>
    <row r="23" spans="1:4" x14ac:dyDescent="0.35">
      <c r="A23" s="62">
        <v>7</v>
      </c>
      <c r="B23" s="62" t="s">
        <v>9</v>
      </c>
      <c r="C23" s="62">
        <f>SUM(INDEX(Quelle_BDEW_H25!$5:$100,0,ROW()-1))</f>
        <v>3361.2320000000013</v>
      </c>
      <c r="D23" s="62" t="s">
        <v>130</v>
      </c>
    </row>
    <row r="24" spans="1:4" x14ac:dyDescent="0.35">
      <c r="A24" s="62">
        <v>7</v>
      </c>
      <c r="B24" s="62" t="s">
        <v>10</v>
      </c>
      <c r="C24" s="62">
        <f>SUM(INDEX(Quelle_BDEW_H25!$5:$100,0,ROW()-1))</f>
        <v>2915.4739999999988</v>
      </c>
      <c r="D24" s="62" t="s">
        <v>131</v>
      </c>
    </row>
    <row r="25" spans="1:4" x14ac:dyDescent="0.35">
      <c r="A25" s="62">
        <v>8</v>
      </c>
      <c r="B25" s="62" t="s">
        <v>8</v>
      </c>
      <c r="C25" s="62">
        <f>SUM(INDEX(Quelle_BDEW_H25!$5:$100,0,ROW()-1))</f>
        <v>3170.1549999999993</v>
      </c>
      <c r="D25" s="62" t="s">
        <v>132</v>
      </c>
    </row>
    <row r="26" spans="1:4" x14ac:dyDescent="0.35">
      <c r="A26" s="62">
        <v>8</v>
      </c>
      <c r="B26" s="62" t="s">
        <v>9</v>
      </c>
      <c r="C26" s="62">
        <f>SUM(INDEX(Quelle_BDEW_H25!$5:$100,0,ROW()-1))</f>
        <v>3254.2179999999998</v>
      </c>
      <c r="D26" s="62" t="s">
        <v>133</v>
      </c>
    </row>
    <row r="27" spans="1:4" x14ac:dyDescent="0.35">
      <c r="A27" s="62">
        <v>8</v>
      </c>
      <c r="B27" s="62" t="s">
        <v>10</v>
      </c>
      <c r="C27" s="62">
        <f>SUM(INDEX(Quelle_BDEW_H25!$5:$100,0,ROW()-1))</f>
        <v>2820.5209999999993</v>
      </c>
      <c r="D27" s="62" t="s">
        <v>134</v>
      </c>
    </row>
    <row r="28" spans="1:4" x14ac:dyDescent="0.35">
      <c r="A28" s="62">
        <v>9</v>
      </c>
      <c r="B28" s="62" t="s">
        <v>8</v>
      </c>
      <c r="C28" s="62">
        <f>SUM(INDEX(Quelle_BDEW_H25!$5:$100,0,ROW()-1))</f>
        <v>3040.3609999999994</v>
      </c>
      <c r="D28" s="62" t="s">
        <v>135</v>
      </c>
    </row>
    <row r="29" spans="1:4" x14ac:dyDescent="0.35">
      <c r="A29" s="62">
        <v>9</v>
      </c>
      <c r="B29" s="62" t="s">
        <v>9</v>
      </c>
      <c r="C29" s="62">
        <f>SUM(INDEX(Quelle_BDEW_H25!$5:$100,0,ROW()-1))</f>
        <v>3190.4380000000001</v>
      </c>
      <c r="D29" s="62" t="s">
        <v>136</v>
      </c>
    </row>
    <row r="30" spans="1:4" x14ac:dyDescent="0.35">
      <c r="A30" s="62">
        <v>9</v>
      </c>
      <c r="B30" s="62" t="s">
        <v>10</v>
      </c>
      <c r="C30" s="62">
        <f>SUM(INDEX(Quelle_BDEW_H25!$5:$100,0,ROW()-1))</f>
        <v>2656.0739999999996</v>
      </c>
      <c r="D30" s="62" t="s">
        <v>137</v>
      </c>
    </row>
    <row r="31" spans="1:4" x14ac:dyDescent="0.35">
      <c r="A31" s="62">
        <v>10</v>
      </c>
      <c r="B31" s="62" t="s">
        <v>8</v>
      </c>
      <c r="C31" s="62">
        <f>SUM(INDEX(Quelle_BDEW_H25!$5:$100,0,ROW()-1))</f>
        <v>2972.8519999999994</v>
      </c>
      <c r="D31" s="62" t="s">
        <v>138</v>
      </c>
    </row>
    <row r="32" spans="1:4" x14ac:dyDescent="0.35">
      <c r="A32" s="62">
        <v>10</v>
      </c>
      <c r="B32" s="62" t="s">
        <v>9</v>
      </c>
      <c r="C32" s="62">
        <f>SUM(INDEX(Quelle_BDEW_H25!$5:$100,0,ROW()-1))</f>
        <v>3127.2450000000008</v>
      </c>
      <c r="D32" s="62" t="s">
        <v>139</v>
      </c>
    </row>
    <row r="33" spans="1:4" x14ac:dyDescent="0.35">
      <c r="A33" s="62">
        <v>10</v>
      </c>
      <c r="B33" s="62" t="s">
        <v>10</v>
      </c>
      <c r="C33" s="62">
        <f>SUM(INDEX(Quelle_BDEW_H25!$5:$100,0,ROW()-1))</f>
        <v>2633.5770000000007</v>
      </c>
      <c r="D33" s="62" t="s">
        <v>140</v>
      </c>
    </row>
    <row r="34" spans="1:4" x14ac:dyDescent="0.35">
      <c r="A34" s="62">
        <v>11</v>
      </c>
      <c r="B34" s="62" t="s">
        <v>8</v>
      </c>
      <c r="C34" s="62">
        <f>SUM(INDEX(Quelle_BDEW_H25!$5:$100,0,ROW()-1))</f>
        <v>2944.4279999999999</v>
      </c>
      <c r="D34" s="62" t="s">
        <v>141</v>
      </c>
    </row>
    <row r="35" spans="1:4" x14ac:dyDescent="0.35">
      <c r="A35" s="62">
        <v>11</v>
      </c>
      <c r="B35" s="62" t="s">
        <v>9</v>
      </c>
      <c r="C35" s="62">
        <f>SUM(INDEX(Quelle_BDEW_H25!$5:$100,0,ROW()-1))</f>
        <v>3042.9679999999998</v>
      </c>
      <c r="D35" s="62" t="s">
        <v>142</v>
      </c>
    </row>
    <row r="36" spans="1:4" x14ac:dyDescent="0.35">
      <c r="A36" s="62">
        <v>11</v>
      </c>
      <c r="B36" s="62" t="s">
        <v>10</v>
      </c>
      <c r="C36" s="62">
        <f>SUM(INDEX(Quelle_BDEW_H25!$5:$100,0,ROW()-1))</f>
        <v>2541.8630000000003</v>
      </c>
      <c r="D36" s="62" t="s">
        <v>143</v>
      </c>
    </row>
    <row r="37" spans="1:4" x14ac:dyDescent="0.35">
      <c r="A37" s="62">
        <v>12</v>
      </c>
      <c r="B37" s="62" t="s">
        <v>8</v>
      </c>
      <c r="C37" s="62">
        <f>SUM(INDEX(Quelle_BDEW_H25!$5:$100,0,ROW()-1))</f>
        <v>2816.4139999999993</v>
      </c>
      <c r="D37" s="62" t="s">
        <v>144</v>
      </c>
    </row>
    <row r="38" spans="1:4" x14ac:dyDescent="0.35">
      <c r="A38" s="62">
        <v>12</v>
      </c>
      <c r="B38" s="62" t="s">
        <v>9</v>
      </c>
      <c r="C38" s="62">
        <f>SUM(INDEX(Quelle_BDEW_H25!$5:$100,0,ROW()-1))</f>
        <v>2936.7459999999987</v>
      </c>
      <c r="D38" s="62" t="s">
        <v>145</v>
      </c>
    </row>
    <row r="39" spans="1:4" x14ac:dyDescent="0.35">
      <c r="A39" s="62">
        <v>12</v>
      </c>
      <c r="B39" s="62" t="s">
        <v>10</v>
      </c>
      <c r="C39" s="62">
        <f>SUM(INDEX(Quelle_BDEW_H25!$5:$100,0,ROW()-1))</f>
        <v>2536.5189999999993</v>
      </c>
      <c r="D39" s="62" t="s">
        <v>146</v>
      </c>
    </row>
  </sheetData>
  <phoneticPr fontId="5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37DD-77A4-4582-B8C1-46AF41ADBC44}">
  <dimension ref="A1:AL298"/>
  <sheetViews>
    <sheetView showGridLines="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F17" sqref="F17"/>
    </sheetView>
  </sheetViews>
  <sheetFormatPr baseColWidth="10" defaultRowHeight="12.5" x14ac:dyDescent="0.25"/>
  <cols>
    <col min="1" max="16384" width="10.90625" style="2"/>
  </cols>
  <sheetData>
    <row r="1" spans="1:38" ht="14.5" x14ac:dyDescent="0.35">
      <c r="A1" s="1" t="s">
        <v>3</v>
      </c>
      <c r="B1" s="1"/>
      <c r="C1" s="1" t="s">
        <v>4</v>
      </c>
      <c r="E1" s="1" t="s">
        <v>5</v>
      </c>
      <c r="F1" s="1"/>
      <c r="G1" s="1"/>
      <c r="H1" s="1"/>
      <c r="I1" s="1" t="s">
        <v>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thickBot="1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 thickBot="1" x14ac:dyDescent="0.4">
      <c r="B3" s="1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.15" customHeight="1" thickBot="1" x14ac:dyDescent="0.4">
      <c r="B4" s="1" t="s">
        <v>7</v>
      </c>
      <c r="C4" s="21" t="s">
        <v>8</v>
      </c>
      <c r="D4" s="22" t="s">
        <v>9</v>
      </c>
      <c r="E4" s="23" t="s">
        <v>10</v>
      </c>
      <c r="F4" s="24" t="s">
        <v>8</v>
      </c>
      <c r="G4" s="25" t="s">
        <v>9</v>
      </c>
      <c r="H4" s="26" t="s">
        <v>10</v>
      </c>
      <c r="I4" s="27" t="s">
        <v>8</v>
      </c>
      <c r="J4" s="28" t="s">
        <v>9</v>
      </c>
      <c r="K4" s="29" t="s">
        <v>10</v>
      </c>
      <c r="L4" s="30" t="s">
        <v>8</v>
      </c>
      <c r="M4" s="31" t="s">
        <v>9</v>
      </c>
      <c r="N4" s="32" t="s">
        <v>10</v>
      </c>
      <c r="O4" s="33" t="s">
        <v>8</v>
      </c>
      <c r="P4" s="34" t="s">
        <v>9</v>
      </c>
      <c r="Q4" s="35" t="s">
        <v>10</v>
      </c>
      <c r="R4" s="36" t="s">
        <v>8</v>
      </c>
      <c r="S4" s="37" t="s">
        <v>9</v>
      </c>
      <c r="T4" s="38" t="s">
        <v>10</v>
      </c>
      <c r="U4" s="21" t="s">
        <v>8</v>
      </c>
      <c r="V4" s="22" t="s">
        <v>9</v>
      </c>
      <c r="W4" s="23" t="s">
        <v>10</v>
      </c>
      <c r="X4" s="24" t="s">
        <v>8</v>
      </c>
      <c r="Y4" s="25" t="s">
        <v>9</v>
      </c>
      <c r="Z4" s="26" t="s">
        <v>10</v>
      </c>
      <c r="AA4" s="27" t="s">
        <v>8</v>
      </c>
      <c r="AB4" s="28" t="s">
        <v>9</v>
      </c>
      <c r="AC4" s="29" t="s">
        <v>10</v>
      </c>
      <c r="AD4" s="30" t="s">
        <v>8</v>
      </c>
      <c r="AE4" s="31" t="s">
        <v>9</v>
      </c>
      <c r="AF4" s="32" t="s">
        <v>10</v>
      </c>
      <c r="AG4" s="33" t="s">
        <v>8</v>
      </c>
      <c r="AH4" s="34" t="s">
        <v>9</v>
      </c>
      <c r="AI4" s="35" t="s">
        <v>10</v>
      </c>
      <c r="AJ4" s="36" t="s">
        <v>8</v>
      </c>
      <c r="AK4" s="37" t="s">
        <v>9</v>
      </c>
      <c r="AL4" s="38" t="s">
        <v>10</v>
      </c>
    </row>
    <row r="5" spans="1:38" ht="14.15" customHeight="1" x14ac:dyDescent="0.35">
      <c r="B5" s="39" t="s">
        <v>11</v>
      </c>
      <c r="C5" s="40">
        <v>22.152000000000001</v>
      </c>
      <c r="D5" s="41">
        <v>23.148</v>
      </c>
      <c r="E5" s="42">
        <v>20.126000000000001</v>
      </c>
      <c r="F5" s="43">
        <v>22.247</v>
      </c>
      <c r="G5" s="44">
        <v>23.03</v>
      </c>
      <c r="H5" s="45">
        <v>20.279</v>
      </c>
      <c r="I5" s="46">
        <v>21.856999999999999</v>
      </c>
      <c r="J5" s="47">
        <v>22.709</v>
      </c>
      <c r="K5" s="48">
        <v>19.602</v>
      </c>
      <c r="L5" s="49">
        <v>23.914000000000001</v>
      </c>
      <c r="M5" s="50">
        <v>24.952000000000002</v>
      </c>
      <c r="N5" s="51">
        <v>21.234999999999999</v>
      </c>
      <c r="O5" s="52">
        <v>24.619</v>
      </c>
      <c r="P5" s="53">
        <v>25.395</v>
      </c>
      <c r="Q5" s="54">
        <v>22.213000000000001</v>
      </c>
      <c r="R5" s="55">
        <v>26.983000000000001</v>
      </c>
      <c r="S5" s="56">
        <v>27.626000000000001</v>
      </c>
      <c r="T5" s="57">
        <v>24.565999999999999</v>
      </c>
      <c r="U5" s="40">
        <v>28.254999999999999</v>
      </c>
      <c r="V5" s="41">
        <v>28.736999999999998</v>
      </c>
      <c r="W5" s="42">
        <v>25.975999999999999</v>
      </c>
      <c r="X5" s="43">
        <v>26.762</v>
      </c>
      <c r="Y5" s="44">
        <v>27.556000000000001</v>
      </c>
      <c r="Z5" s="45">
        <v>24.849</v>
      </c>
      <c r="AA5" s="46">
        <v>23.55</v>
      </c>
      <c r="AB5" s="47">
        <v>25.013999999999999</v>
      </c>
      <c r="AC5" s="48">
        <v>21.295999999999999</v>
      </c>
      <c r="AD5" s="49">
        <v>22.87</v>
      </c>
      <c r="AE5" s="50">
        <v>23.558</v>
      </c>
      <c r="AF5" s="51">
        <v>20.509</v>
      </c>
      <c r="AG5" s="52">
        <v>21.707000000000001</v>
      </c>
      <c r="AH5" s="53">
        <v>22.535</v>
      </c>
      <c r="AI5" s="54">
        <v>19.582999999999998</v>
      </c>
      <c r="AJ5" s="55">
        <v>21.65</v>
      </c>
      <c r="AK5" s="56">
        <v>22.812000000000001</v>
      </c>
      <c r="AL5" s="58">
        <v>19.959</v>
      </c>
    </row>
    <row r="6" spans="1:38" ht="14.15" customHeight="1" x14ac:dyDescent="0.35">
      <c r="B6" s="59" t="s">
        <v>12</v>
      </c>
      <c r="C6" s="40">
        <v>20.809000000000001</v>
      </c>
      <c r="D6" s="41">
        <v>21.984999999999999</v>
      </c>
      <c r="E6" s="42">
        <v>18.914999999999999</v>
      </c>
      <c r="F6" s="43">
        <v>20.913</v>
      </c>
      <c r="G6" s="44">
        <v>21.687999999999999</v>
      </c>
      <c r="H6" s="45">
        <v>19.097000000000001</v>
      </c>
      <c r="I6" s="46">
        <v>20.478000000000002</v>
      </c>
      <c r="J6" s="47">
        <v>21.425999999999998</v>
      </c>
      <c r="K6" s="48">
        <v>18.417999999999999</v>
      </c>
      <c r="L6" s="49">
        <v>22.425999999999998</v>
      </c>
      <c r="M6" s="50">
        <v>23.419</v>
      </c>
      <c r="N6" s="51">
        <v>19.93</v>
      </c>
      <c r="O6" s="52">
        <v>23.08</v>
      </c>
      <c r="P6" s="53">
        <v>24.076000000000001</v>
      </c>
      <c r="Q6" s="54">
        <v>20.893999999999998</v>
      </c>
      <c r="R6" s="55">
        <v>25.584</v>
      </c>
      <c r="S6" s="56">
        <v>26.265999999999998</v>
      </c>
      <c r="T6" s="57">
        <v>23.271999999999998</v>
      </c>
      <c r="U6" s="40">
        <v>26.867999999999999</v>
      </c>
      <c r="V6" s="41">
        <v>27.379000000000001</v>
      </c>
      <c r="W6" s="42">
        <v>24.626999999999999</v>
      </c>
      <c r="X6" s="43">
        <v>25.411999999999999</v>
      </c>
      <c r="Y6" s="44">
        <v>26.314</v>
      </c>
      <c r="Z6" s="45">
        <v>23.605</v>
      </c>
      <c r="AA6" s="46">
        <v>22.282</v>
      </c>
      <c r="AB6" s="47">
        <v>23.683</v>
      </c>
      <c r="AC6" s="48">
        <v>20.196999999999999</v>
      </c>
      <c r="AD6" s="49">
        <v>21.533999999999999</v>
      </c>
      <c r="AE6" s="50">
        <v>22.195</v>
      </c>
      <c r="AF6" s="51">
        <v>19.260999999999999</v>
      </c>
      <c r="AG6" s="52">
        <v>20.332999999999998</v>
      </c>
      <c r="AH6" s="53">
        <v>21.231000000000002</v>
      </c>
      <c r="AI6" s="54">
        <v>18.36</v>
      </c>
      <c r="AJ6" s="55">
        <v>20.225000000000001</v>
      </c>
      <c r="AK6" s="56">
        <v>21.446000000000002</v>
      </c>
      <c r="AL6" s="58">
        <v>18.71</v>
      </c>
    </row>
    <row r="7" spans="1:38" ht="14.15" customHeight="1" x14ac:dyDescent="0.35">
      <c r="B7" s="59" t="s">
        <v>13</v>
      </c>
      <c r="C7" s="40">
        <v>19.757000000000001</v>
      </c>
      <c r="D7" s="41">
        <v>21.146999999999998</v>
      </c>
      <c r="E7" s="42">
        <v>17.959</v>
      </c>
      <c r="F7" s="43">
        <v>20.013999999999999</v>
      </c>
      <c r="G7" s="44">
        <v>20.821000000000002</v>
      </c>
      <c r="H7" s="45">
        <v>18.22</v>
      </c>
      <c r="I7" s="46">
        <v>19.823</v>
      </c>
      <c r="J7" s="47">
        <v>20.51</v>
      </c>
      <c r="K7" s="48">
        <v>17.849</v>
      </c>
      <c r="L7" s="49">
        <v>21.492999999999999</v>
      </c>
      <c r="M7" s="50">
        <v>22.370999999999999</v>
      </c>
      <c r="N7" s="51">
        <v>19.207999999999998</v>
      </c>
      <c r="O7" s="52">
        <v>22.073</v>
      </c>
      <c r="P7" s="53">
        <v>22.960999999999999</v>
      </c>
      <c r="Q7" s="54">
        <v>20.099</v>
      </c>
      <c r="R7" s="55">
        <v>24.443999999999999</v>
      </c>
      <c r="S7" s="56">
        <v>25.04</v>
      </c>
      <c r="T7" s="57">
        <v>22.285</v>
      </c>
      <c r="U7" s="40">
        <v>25.82</v>
      </c>
      <c r="V7" s="41">
        <v>26.3</v>
      </c>
      <c r="W7" s="42">
        <v>23.677</v>
      </c>
      <c r="X7" s="43">
        <v>24.561</v>
      </c>
      <c r="Y7" s="44">
        <v>25.227</v>
      </c>
      <c r="Z7" s="45">
        <v>22.731999999999999</v>
      </c>
      <c r="AA7" s="46">
        <v>21.457999999999998</v>
      </c>
      <c r="AB7" s="47">
        <v>22.734999999999999</v>
      </c>
      <c r="AC7" s="48">
        <v>19.484000000000002</v>
      </c>
      <c r="AD7" s="49">
        <v>20.760999999999999</v>
      </c>
      <c r="AE7" s="50">
        <v>21.169</v>
      </c>
      <c r="AF7" s="51">
        <v>18.579999999999998</v>
      </c>
      <c r="AG7" s="52">
        <v>19.295999999999999</v>
      </c>
      <c r="AH7" s="53">
        <v>20.274000000000001</v>
      </c>
      <c r="AI7" s="54">
        <v>17.387</v>
      </c>
      <c r="AJ7" s="55">
        <v>19.131</v>
      </c>
      <c r="AK7" s="56">
        <v>20.393000000000001</v>
      </c>
      <c r="AL7" s="58">
        <v>17.713999999999999</v>
      </c>
    </row>
    <row r="8" spans="1:38" ht="14.15" customHeight="1" x14ac:dyDescent="0.35">
      <c r="B8" s="59" t="s">
        <v>14</v>
      </c>
      <c r="C8" s="40">
        <v>18.888999999999999</v>
      </c>
      <c r="D8" s="41">
        <v>20.385000000000002</v>
      </c>
      <c r="E8" s="42">
        <v>17.202000000000002</v>
      </c>
      <c r="F8" s="43">
        <v>19.23</v>
      </c>
      <c r="G8" s="44">
        <v>20.059999999999999</v>
      </c>
      <c r="H8" s="45">
        <v>17.504000000000001</v>
      </c>
      <c r="I8" s="46">
        <v>19.045000000000002</v>
      </c>
      <c r="J8" s="47">
        <v>19.731999999999999</v>
      </c>
      <c r="K8" s="48">
        <v>17.125</v>
      </c>
      <c r="L8" s="49">
        <v>20.460999999999999</v>
      </c>
      <c r="M8" s="50">
        <v>21.343</v>
      </c>
      <c r="N8" s="51">
        <v>18.350000000000001</v>
      </c>
      <c r="O8" s="52">
        <v>20.956</v>
      </c>
      <c r="P8" s="53">
        <v>21.966000000000001</v>
      </c>
      <c r="Q8" s="54">
        <v>19.268999999999998</v>
      </c>
      <c r="R8" s="55">
        <v>23.317</v>
      </c>
      <c r="S8" s="56">
        <v>24.061</v>
      </c>
      <c r="T8" s="57">
        <v>21.359000000000002</v>
      </c>
      <c r="U8" s="40">
        <v>24.77</v>
      </c>
      <c r="V8" s="41">
        <v>25.298999999999999</v>
      </c>
      <c r="W8" s="42">
        <v>22.710999999999999</v>
      </c>
      <c r="X8" s="43">
        <v>23.524999999999999</v>
      </c>
      <c r="Y8" s="44">
        <v>24.306999999999999</v>
      </c>
      <c r="Z8" s="45">
        <v>21.923999999999999</v>
      </c>
      <c r="AA8" s="46">
        <v>20.445</v>
      </c>
      <c r="AB8" s="47">
        <v>21.814</v>
      </c>
      <c r="AC8" s="48">
        <v>18.739000000000001</v>
      </c>
      <c r="AD8" s="49">
        <v>19.809999999999999</v>
      </c>
      <c r="AE8" s="50">
        <v>20.225000000000001</v>
      </c>
      <c r="AF8" s="51">
        <v>17.779</v>
      </c>
      <c r="AG8" s="52">
        <v>18.38</v>
      </c>
      <c r="AH8" s="53">
        <v>19.385000000000002</v>
      </c>
      <c r="AI8" s="54">
        <v>16.600999999999999</v>
      </c>
      <c r="AJ8" s="55">
        <v>18.234000000000002</v>
      </c>
      <c r="AK8" s="56">
        <v>19.526</v>
      </c>
      <c r="AL8" s="58">
        <v>16.939</v>
      </c>
    </row>
    <row r="9" spans="1:38" ht="14.15" customHeight="1" x14ac:dyDescent="0.35">
      <c r="B9" s="59" t="s">
        <v>15</v>
      </c>
      <c r="C9" s="40">
        <v>18.216999999999999</v>
      </c>
      <c r="D9" s="41">
        <v>19.649999999999999</v>
      </c>
      <c r="E9" s="42">
        <v>16.611999999999998</v>
      </c>
      <c r="F9" s="43">
        <v>18.547000000000001</v>
      </c>
      <c r="G9" s="44">
        <v>19.356000000000002</v>
      </c>
      <c r="H9" s="45">
        <v>16.931999999999999</v>
      </c>
      <c r="I9" s="46">
        <v>18.327000000000002</v>
      </c>
      <c r="J9" s="47">
        <v>19.004000000000001</v>
      </c>
      <c r="K9" s="48">
        <v>16.584</v>
      </c>
      <c r="L9" s="49">
        <v>19.661000000000001</v>
      </c>
      <c r="M9" s="50">
        <v>20.445</v>
      </c>
      <c r="N9" s="51">
        <v>17.658000000000001</v>
      </c>
      <c r="O9" s="52">
        <v>20.167000000000002</v>
      </c>
      <c r="P9" s="53">
        <v>21.103999999999999</v>
      </c>
      <c r="Q9" s="54">
        <v>18.594000000000001</v>
      </c>
      <c r="R9" s="55">
        <v>22.373999999999999</v>
      </c>
      <c r="S9" s="56">
        <v>23.207000000000001</v>
      </c>
      <c r="T9" s="57">
        <v>20.683</v>
      </c>
      <c r="U9" s="40">
        <v>23.867000000000001</v>
      </c>
      <c r="V9" s="41">
        <v>24.452000000000002</v>
      </c>
      <c r="W9" s="42">
        <v>21.994</v>
      </c>
      <c r="X9" s="43">
        <v>22.841999999999999</v>
      </c>
      <c r="Y9" s="44">
        <v>23.501000000000001</v>
      </c>
      <c r="Z9" s="45">
        <v>21.274999999999999</v>
      </c>
      <c r="AA9" s="46">
        <v>19.742999999999999</v>
      </c>
      <c r="AB9" s="47">
        <v>21.023</v>
      </c>
      <c r="AC9" s="48">
        <v>18.186</v>
      </c>
      <c r="AD9" s="49">
        <v>18.994</v>
      </c>
      <c r="AE9" s="50">
        <v>19.446000000000002</v>
      </c>
      <c r="AF9" s="51">
        <v>17.175999999999998</v>
      </c>
      <c r="AG9" s="52">
        <v>17.728999999999999</v>
      </c>
      <c r="AH9" s="53">
        <v>18.648</v>
      </c>
      <c r="AI9" s="54">
        <v>16.044</v>
      </c>
      <c r="AJ9" s="55">
        <v>17.523</v>
      </c>
      <c r="AK9" s="56">
        <v>18.77</v>
      </c>
      <c r="AL9" s="58">
        <v>16.338999999999999</v>
      </c>
    </row>
    <row r="10" spans="1:38" ht="14.15" customHeight="1" x14ac:dyDescent="0.35">
      <c r="B10" s="59" t="s">
        <v>16</v>
      </c>
      <c r="C10" s="40">
        <v>17.53</v>
      </c>
      <c r="D10" s="41">
        <v>18.998000000000001</v>
      </c>
      <c r="E10" s="42">
        <v>16.077000000000002</v>
      </c>
      <c r="F10" s="43">
        <v>17.91</v>
      </c>
      <c r="G10" s="44">
        <v>18.707999999999998</v>
      </c>
      <c r="H10" s="45">
        <v>16.422000000000001</v>
      </c>
      <c r="I10" s="46">
        <v>17.756</v>
      </c>
      <c r="J10" s="47">
        <v>18.37</v>
      </c>
      <c r="K10" s="48">
        <v>16.13</v>
      </c>
      <c r="L10" s="49">
        <v>18.888999999999999</v>
      </c>
      <c r="M10" s="50">
        <v>19.695</v>
      </c>
      <c r="N10" s="51">
        <v>17.062999999999999</v>
      </c>
      <c r="O10" s="52">
        <v>19.364000000000001</v>
      </c>
      <c r="P10" s="53">
        <v>20.292999999999999</v>
      </c>
      <c r="Q10" s="54">
        <v>17.931000000000001</v>
      </c>
      <c r="R10" s="55">
        <v>21.562000000000001</v>
      </c>
      <c r="S10" s="56">
        <v>22.344999999999999</v>
      </c>
      <c r="T10" s="57">
        <v>19.963000000000001</v>
      </c>
      <c r="U10" s="40">
        <v>22.998999999999999</v>
      </c>
      <c r="V10" s="41">
        <v>23.532</v>
      </c>
      <c r="W10" s="42">
        <v>21.288</v>
      </c>
      <c r="X10" s="43">
        <v>22.100999999999999</v>
      </c>
      <c r="Y10" s="44">
        <v>22.692</v>
      </c>
      <c r="Z10" s="45">
        <v>20.63</v>
      </c>
      <c r="AA10" s="46">
        <v>19.006</v>
      </c>
      <c r="AB10" s="47">
        <v>20.187000000000001</v>
      </c>
      <c r="AC10" s="48">
        <v>17.559000000000001</v>
      </c>
      <c r="AD10" s="49">
        <v>18.273</v>
      </c>
      <c r="AE10" s="50">
        <v>18.716000000000001</v>
      </c>
      <c r="AF10" s="51">
        <v>16.61</v>
      </c>
      <c r="AG10" s="52">
        <v>17.151</v>
      </c>
      <c r="AH10" s="53">
        <v>18.035</v>
      </c>
      <c r="AI10" s="54">
        <v>15.52</v>
      </c>
      <c r="AJ10" s="55">
        <v>16.867000000000001</v>
      </c>
      <c r="AK10" s="56">
        <v>18.068000000000001</v>
      </c>
      <c r="AL10" s="58">
        <v>15.803000000000001</v>
      </c>
    </row>
    <row r="11" spans="1:38" ht="14.15" customHeight="1" x14ac:dyDescent="0.35">
      <c r="B11" s="59" t="s">
        <v>17</v>
      </c>
      <c r="C11" s="40">
        <v>16.988</v>
      </c>
      <c r="D11" s="41">
        <v>18.366</v>
      </c>
      <c r="E11" s="42">
        <v>15.795999999999999</v>
      </c>
      <c r="F11" s="43">
        <v>17.457000000000001</v>
      </c>
      <c r="G11" s="44">
        <v>18.111999999999998</v>
      </c>
      <c r="H11" s="45">
        <v>16.190999999999999</v>
      </c>
      <c r="I11" s="46">
        <v>17.344999999999999</v>
      </c>
      <c r="J11" s="47">
        <v>18.181000000000001</v>
      </c>
      <c r="K11" s="48">
        <v>15.882999999999999</v>
      </c>
      <c r="L11" s="49">
        <v>18.312999999999999</v>
      </c>
      <c r="M11" s="50">
        <v>19.283000000000001</v>
      </c>
      <c r="N11" s="51">
        <v>16.562999999999999</v>
      </c>
      <c r="O11" s="52">
        <v>18.689</v>
      </c>
      <c r="P11" s="53">
        <v>19.780999999999999</v>
      </c>
      <c r="Q11" s="54">
        <v>17.419</v>
      </c>
      <c r="R11" s="55">
        <v>20.806999999999999</v>
      </c>
      <c r="S11" s="56">
        <v>21.704000000000001</v>
      </c>
      <c r="T11" s="57">
        <v>19.347000000000001</v>
      </c>
      <c r="U11" s="40">
        <v>22.292000000000002</v>
      </c>
      <c r="V11" s="41">
        <v>22.911000000000001</v>
      </c>
      <c r="W11" s="42">
        <v>20.645</v>
      </c>
      <c r="X11" s="43">
        <v>21.376999999999999</v>
      </c>
      <c r="Y11" s="44">
        <v>22.126000000000001</v>
      </c>
      <c r="Z11" s="45">
        <v>20.100000000000001</v>
      </c>
      <c r="AA11" s="46">
        <v>18.286999999999999</v>
      </c>
      <c r="AB11" s="47">
        <v>19.562999999999999</v>
      </c>
      <c r="AC11" s="48">
        <v>17.068999999999999</v>
      </c>
      <c r="AD11" s="49">
        <v>17.658999999999999</v>
      </c>
      <c r="AE11" s="50">
        <v>18.353999999999999</v>
      </c>
      <c r="AF11" s="51">
        <v>16.146000000000001</v>
      </c>
      <c r="AG11" s="52">
        <v>16.715</v>
      </c>
      <c r="AH11" s="53">
        <v>17.530999999999999</v>
      </c>
      <c r="AI11" s="54">
        <v>15.269</v>
      </c>
      <c r="AJ11" s="55">
        <v>16.358000000000001</v>
      </c>
      <c r="AK11" s="56">
        <v>17.449000000000002</v>
      </c>
      <c r="AL11" s="58">
        <v>15.461</v>
      </c>
    </row>
    <row r="12" spans="1:38" ht="14.15" customHeight="1" x14ac:dyDescent="0.35">
      <c r="B12" s="59" t="s">
        <v>18</v>
      </c>
      <c r="C12" s="40">
        <v>16.399000000000001</v>
      </c>
      <c r="D12" s="41">
        <v>17.667000000000002</v>
      </c>
      <c r="E12" s="42">
        <v>15.3</v>
      </c>
      <c r="F12" s="43">
        <v>16.879000000000001</v>
      </c>
      <c r="G12" s="44">
        <v>17.474</v>
      </c>
      <c r="H12" s="45">
        <v>15.718</v>
      </c>
      <c r="I12" s="46">
        <v>16.779</v>
      </c>
      <c r="J12" s="47">
        <v>17.623000000000001</v>
      </c>
      <c r="K12" s="48">
        <v>15.476000000000001</v>
      </c>
      <c r="L12" s="49">
        <v>17.757999999999999</v>
      </c>
      <c r="M12" s="50">
        <v>18.657</v>
      </c>
      <c r="N12" s="51">
        <v>16.155999999999999</v>
      </c>
      <c r="O12" s="52">
        <v>18.091000000000001</v>
      </c>
      <c r="P12" s="53">
        <v>19.125</v>
      </c>
      <c r="Q12" s="54">
        <v>16.989999999999998</v>
      </c>
      <c r="R12" s="55">
        <v>20.257999999999999</v>
      </c>
      <c r="S12" s="56">
        <v>21.068000000000001</v>
      </c>
      <c r="T12" s="57">
        <v>18.946000000000002</v>
      </c>
      <c r="U12" s="40">
        <v>21.734999999999999</v>
      </c>
      <c r="V12" s="41">
        <v>22.277999999999999</v>
      </c>
      <c r="W12" s="42">
        <v>20.190000000000001</v>
      </c>
      <c r="X12" s="43">
        <v>20.887</v>
      </c>
      <c r="Y12" s="44">
        <v>21.475999999999999</v>
      </c>
      <c r="Z12" s="45">
        <v>19.651</v>
      </c>
      <c r="AA12" s="46">
        <v>17.779</v>
      </c>
      <c r="AB12" s="47">
        <v>19.015000000000001</v>
      </c>
      <c r="AC12" s="48">
        <v>16.675999999999998</v>
      </c>
      <c r="AD12" s="49">
        <v>17.077000000000002</v>
      </c>
      <c r="AE12" s="50">
        <v>17.7</v>
      </c>
      <c r="AF12" s="51">
        <v>15.744</v>
      </c>
      <c r="AG12" s="52">
        <v>16.184000000000001</v>
      </c>
      <c r="AH12" s="53">
        <v>16.922999999999998</v>
      </c>
      <c r="AI12" s="54">
        <v>14.856999999999999</v>
      </c>
      <c r="AJ12" s="55">
        <v>15.738</v>
      </c>
      <c r="AK12" s="56">
        <v>16.786000000000001</v>
      </c>
      <c r="AL12" s="58">
        <v>14.981999999999999</v>
      </c>
    </row>
    <row r="13" spans="1:38" ht="14.15" customHeight="1" x14ac:dyDescent="0.35">
      <c r="B13" s="59" t="s">
        <v>19</v>
      </c>
      <c r="C13" s="40">
        <v>16.199000000000002</v>
      </c>
      <c r="D13" s="41">
        <v>17.457999999999998</v>
      </c>
      <c r="E13" s="42">
        <v>15.287000000000001</v>
      </c>
      <c r="F13" s="43">
        <v>16.722999999999999</v>
      </c>
      <c r="G13" s="44">
        <v>17.413</v>
      </c>
      <c r="H13" s="45">
        <v>15.76</v>
      </c>
      <c r="I13" s="46">
        <v>16.666</v>
      </c>
      <c r="J13" s="47">
        <v>17.53</v>
      </c>
      <c r="K13" s="48">
        <v>15.464</v>
      </c>
      <c r="L13" s="49">
        <v>17.5</v>
      </c>
      <c r="M13" s="50">
        <v>18.326000000000001</v>
      </c>
      <c r="N13" s="51">
        <v>16.023</v>
      </c>
      <c r="O13" s="52">
        <v>17.861999999999998</v>
      </c>
      <c r="P13" s="53">
        <v>18.88</v>
      </c>
      <c r="Q13" s="54">
        <v>16.858000000000001</v>
      </c>
      <c r="R13" s="55">
        <v>19.852</v>
      </c>
      <c r="S13" s="56">
        <v>20.6</v>
      </c>
      <c r="T13" s="57">
        <v>18.670000000000002</v>
      </c>
      <c r="U13" s="40">
        <v>21.260999999999999</v>
      </c>
      <c r="V13" s="41">
        <v>21.815000000000001</v>
      </c>
      <c r="W13" s="42">
        <v>19.913</v>
      </c>
      <c r="X13" s="43">
        <v>20.536999999999999</v>
      </c>
      <c r="Y13" s="44">
        <v>21.074000000000002</v>
      </c>
      <c r="Z13" s="45">
        <v>19.425000000000001</v>
      </c>
      <c r="AA13" s="46">
        <v>17.488</v>
      </c>
      <c r="AB13" s="47">
        <v>18.669</v>
      </c>
      <c r="AC13" s="48">
        <v>16.510000000000002</v>
      </c>
      <c r="AD13" s="49">
        <v>16.838999999999999</v>
      </c>
      <c r="AE13" s="50">
        <v>17.173999999999999</v>
      </c>
      <c r="AF13" s="51">
        <v>15.63</v>
      </c>
      <c r="AG13" s="52">
        <v>16.015999999999998</v>
      </c>
      <c r="AH13" s="53">
        <v>16.77</v>
      </c>
      <c r="AI13" s="54">
        <v>14.874000000000001</v>
      </c>
      <c r="AJ13" s="55">
        <v>15.536</v>
      </c>
      <c r="AK13" s="56">
        <v>16.574999999999999</v>
      </c>
      <c r="AL13" s="58">
        <v>14.949</v>
      </c>
    </row>
    <row r="14" spans="1:38" ht="14.15" customHeight="1" x14ac:dyDescent="0.35">
      <c r="B14" s="59" t="s">
        <v>20</v>
      </c>
      <c r="C14" s="40">
        <v>15.893000000000001</v>
      </c>
      <c r="D14" s="41">
        <v>17.009</v>
      </c>
      <c r="E14" s="42">
        <v>15.143000000000001</v>
      </c>
      <c r="F14" s="43">
        <v>16.460999999999999</v>
      </c>
      <c r="G14" s="44">
        <v>17.088000000000001</v>
      </c>
      <c r="H14" s="45">
        <v>15.624000000000001</v>
      </c>
      <c r="I14" s="46">
        <v>16.478000000000002</v>
      </c>
      <c r="J14" s="47">
        <v>17.198</v>
      </c>
      <c r="K14" s="48">
        <v>15.342000000000001</v>
      </c>
      <c r="L14" s="49">
        <v>17.257999999999999</v>
      </c>
      <c r="M14" s="50">
        <v>18.036999999999999</v>
      </c>
      <c r="N14" s="51">
        <v>15.914</v>
      </c>
      <c r="O14" s="52">
        <v>17.584</v>
      </c>
      <c r="P14" s="53">
        <v>18.565000000000001</v>
      </c>
      <c r="Q14" s="54">
        <v>16.704000000000001</v>
      </c>
      <c r="R14" s="55">
        <v>19.574000000000002</v>
      </c>
      <c r="S14" s="56">
        <v>20.192</v>
      </c>
      <c r="T14" s="57">
        <v>18.489000000000001</v>
      </c>
      <c r="U14" s="40">
        <v>20.972999999999999</v>
      </c>
      <c r="V14" s="41">
        <v>21.318000000000001</v>
      </c>
      <c r="W14" s="42">
        <v>19.678000000000001</v>
      </c>
      <c r="X14" s="43">
        <v>20.195</v>
      </c>
      <c r="Y14" s="44">
        <v>20.643999999999998</v>
      </c>
      <c r="Z14" s="45">
        <v>19.212</v>
      </c>
      <c r="AA14" s="46">
        <v>17.218</v>
      </c>
      <c r="AB14" s="47">
        <v>18.329000000000001</v>
      </c>
      <c r="AC14" s="48">
        <v>16.352</v>
      </c>
      <c r="AD14" s="49">
        <v>16.608000000000001</v>
      </c>
      <c r="AE14" s="50">
        <v>16.911000000000001</v>
      </c>
      <c r="AF14" s="51">
        <v>15.500999999999999</v>
      </c>
      <c r="AG14" s="52">
        <v>15.763999999999999</v>
      </c>
      <c r="AH14" s="53">
        <v>16.41</v>
      </c>
      <c r="AI14" s="54">
        <v>14.734999999999999</v>
      </c>
      <c r="AJ14" s="55">
        <v>15.266999999999999</v>
      </c>
      <c r="AK14" s="56">
        <v>16.206</v>
      </c>
      <c r="AL14" s="58">
        <v>14.824</v>
      </c>
    </row>
    <row r="15" spans="1:38" ht="14.15" customHeight="1" x14ac:dyDescent="0.35">
      <c r="B15" s="59" t="s">
        <v>21</v>
      </c>
      <c r="C15" s="40">
        <v>15.66</v>
      </c>
      <c r="D15" s="41">
        <v>16.678000000000001</v>
      </c>
      <c r="E15" s="42">
        <v>15.025</v>
      </c>
      <c r="F15" s="43">
        <v>16.292000000000002</v>
      </c>
      <c r="G15" s="44">
        <v>16.829000000000001</v>
      </c>
      <c r="H15" s="45">
        <v>15.535</v>
      </c>
      <c r="I15" s="46">
        <v>16.297999999999998</v>
      </c>
      <c r="J15" s="47">
        <v>16.965</v>
      </c>
      <c r="K15" s="48">
        <v>15.244</v>
      </c>
      <c r="L15" s="49">
        <v>17.076000000000001</v>
      </c>
      <c r="M15" s="50">
        <v>17.754000000000001</v>
      </c>
      <c r="N15" s="51">
        <v>15.827</v>
      </c>
      <c r="O15" s="52">
        <v>17.442</v>
      </c>
      <c r="P15" s="53">
        <v>18.298999999999999</v>
      </c>
      <c r="Q15" s="54">
        <v>16.645</v>
      </c>
      <c r="R15" s="55">
        <v>19.283999999999999</v>
      </c>
      <c r="S15" s="56">
        <v>19.794</v>
      </c>
      <c r="T15" s="57">
        <v>18.314</v>
      </c>
      <c r="U15" s="40">
        <v>20.65</v>
      </c>
      <c r="V15" s="41">
        <v>20.97</v>
      </c>
      <c r="W15" s="42">
        <v>19.48</v>
      </c>
      <c r="X15" s="43">
        <v>19.927</v>
      </c>
      <c r="Y15" s="44">
        <v>20.315000000000001</v>
      </c>
      <c r="Z15" s="45">
        <v>19.024000000000001</v>
      </c>
      <c r="AA15" s="46">
        <v>17.079000000000001</v>
      </c>
      <c r="AB15" s="47">
        <v>18.11</v>
      </c>
      <c r="AC15" s="48">
        <v>16.276</v>
      </c>
      <c r="AD15" s="49">
        <v>16.454999999999998</v>
      </c>
      <c r="AE15" s="50">
        <v>16.629000000000001</v>
      </c>
      <c r="AF15" s="51">
        <v>15.398</v>
      </c>
      <c r="AG15" s="52">
        <v>15.574</v>
      </c>
      <c r="AH15" s="53">
        <v>16.201000000000001</v>
      </c>
      <c r="AI15" s="54">
        <v>14.66</v>
      </c>
      <c r="AJ15" s="55">
        <v>15.079000000000001</v>
      </c>
      <c r="AK15" s="56">
        <v>15.933</v>
      </c>
      <c r="AL15" s="58">
        <v>14.727</v>
      </c>
    </row>
    <row r="16" spans="1:38" ht="14.15" customHeight="1" x14ac:dyDescent="0.35">
      <c r="B16" s="59" t="s">
        <v>22</v>
      </c>
      <c r="C16" s="40">
        <v>15.442</v>
      </c>
      <c r="D16" s="41">
        <v>16.363</v>
      </c>
      <c r="E16" s="42">
        <v>14.933999999999999</v>
      </c>
      <c r="F16" s="43">
        <v>16.123999999999999</v>
      </c>
      <c r="G16" s="44">
        <v>16.648</v>
      </c>
      <c r="H16" s="45">
        <v>15.471</v>
      </c>
      <c r="I16" s="46">
        <v>16.167999999999999</v>
      </c>
      <c r="J16" s="47">
        <v>16.669</v>
      </c>
      <c r="K16" s="48">
        <v>15.17</v>
      </c>
      <c r="L16" s="49">
        <v>16.931999999999999</v>
      </c>
      <c r="M16" s="50">
        <v>17.530999999999999</v>
      </c>
      <c r="N16" s="51">
        <v>15.754</v>
      </c>
      <c r="O16" s="52">
        <v>17.295000000000002</v>
      </c>
      <c r="P16" s="53">
        <v>18.093</v>
      </c>
      <c r="Q16" s="54">
        <v>16.611000000000001</v>
      </c>
      <c r="R16" s="55">
        <v>19.071999999999999</v>
      </c>
      <c r="S16" s="56">
        <v>19.481999999999999</v>
      </c>
      <c r="T16" s="57">
        <v>18.186</v>
      </c>
      <c r="U16" s="40">
        <v>20.404</v>
      </c>
      <c r="V16" s="41">
        <v>20.641999999999999</v>
      </c>
      <c r="W16" s="42">
        <v>19.34</v>
      </c>
      <c r="X16" s="43">
        <v>19.768000000000001</v>
      </c>
      <c r="Y16" s="44">
        <v>20.015000000000001</v>
      </c>
      <c r="Z16" s="45">
        <v>18.891999999999999</v>
      </c>
      <c r="AA16" s="46">
        <v>16.988</v>
      </c>
      <c r="AB16" s="47">
        <v>17.838000000000001</v>
      </c>
      <c r="AC16" s="48">
        <v>16.189</v>
      </c>
      <c r="AD16" s="49">
        <v>16.309000000000001</v>
      </c>
      <c r="AE16" s="50">
        <v>16.405000000000001</v>
      </c>
      <c r="AF16" s="51">
        <v>15.358000000000001</v>
      </c>
      <c r="AG16" s="52">
        <v>15.404</v>
      </c>
      <c r="AH16" s="53">
        <v>16.030999999999999</v>
      </c>
      <c r="AI16" s="54">
        <v>14.683999999999999</v>
      </c>
      <c r="AJ16" s="55">
        <v>14.912000000000001</v>
      </c>
      <c r="AK16" s="56">
        <v>15.695</v>
      </c>
      <c r="AL16" s="58">
        <v>14.653</v>
      </c>
    </row>
    <row r="17" spans="2:38" ht="14.15" customHeight="1" x14ac:dyDescent="0.35">
      <c r="B17" s="59" t="s">
        <v>23</v>
      </c>
      <c r="C17" s="40">
        <v>15.398</v>
      </c>
      <c r="D17" s="41">
        <v>16.273</v>
      </c>
      <c r="E17" s="42">
        <v>15.018000000000001</v>
      </c>
      <c r="F17" s="43">
        <v>16.131</v>
      </c>
      <c r="G17" s="44">
        <v>16.613</v>
      </c>
      <c r="H17" s="45">
        <v>15.553000000000001</v>
      </c>
      <c r="I17" s="46">
        <v>16.091000000000001</v>
      </c>
      <c r="J17" s="47">
        <v>16.773</v>
      </c>
      <c r="K17" s="48">
        <v>15.281000000000001</v>
      </c>
      <c r="L17" s="49">
        <v>16.914000000000001</v>
      </c>
      <c r="M17" s="50">
        <v>17.446999999999999</v>
      </c>
      <c r="N17" s="51">
        <v>15.896000000000001</v>
      </c>
      <c r="O17" s="52">
        <v>17.248000000000001</v>
      </c>
      <c r="P17" s="53">
        <v>18.05</v>
      </c>
      <c r="Q17" s="54">
        <v>16.742999999999999</v>
      </c>
      <c r="R17" s="55">
        <v>19.003</v>
      </c>
      <c r="S17" s="56">
        <v>19.350000000000001</v>
      </c>
      <c r="T17" s="57">
        <v>18.206</v>
      </c>
      <c r="U17" s="40">
        <v>20.327999999999999</v>
      </c>
      <c r="V17" s="41">
        <v>20.475000000000001</v>
      </c>
      <c r="W17" s="42">
        <v>19.356000000000002</v>
      </c>
      <c r="X17" s="43">
        <v>19.597000000000001</v>
      </c>
      <c r="Y17" s="44">
        <v>19.818000000000001</v>
      </c>
      <c r="Z17" s="45">
        <v>18.902000000000001</v>
      </c>
      <c r="AA17" s="46">
        <v>16.925999999999998</v>
      </c>
      <c r="AB17" s="47">
        <v>17.736999999999998</v>
      </c>
      <c r="AC17" s="48">
        <v>16.187999999999999</v>
      </c>
      <c r="AD17" s="49">
        <v>16.292000000000002</v>
      </c>
      <c r="AE17" s="50">
        <v>16.457000000000001</v>
      </c>
      <c r="AF17" s="51">
        <v>15.467000000000001</v>
      </c>
      <c r="AG17" s="52">
        <v>15.456</v>
      </c>
      <c r="AH17" s="53">
        <v>16.013000000000002</v>
      </c>
      <c r="AI17" s="54">
        <v>14.778</v>
      </c>
      <c r="AJ17" s="55">
        <v>14.867000000000001</v>
      </c>
      <c r="AK17" s="56">
        <v>15.618</v>
      </c>
      <c r="AL17" s="58">
        <v>14.708</v>
      </c>
    </row>
    <row r="18" spans="2:38" ht="14.15" customHeight="1" x14ac:dyDescent="0.35">
      <c r="B18" s="59" t="s">
        <v>24</v>
      </c>
      <c r="C18" s="40">
        <v>15.218999999999999</v>
      </c>
      <c r="D18" s="41">
        <v>16.053999999999998</v>
      </c>
      <c r="E18" s="42">
        <v>14.938000000000001</v>
      </c>
      <c r="F18" s="43">
        <v>16.001000000000001</v>
      </c>
      <c r="G18" s="44">
        <v>16.486999999999998</v>
      </c>
      <c r="H18" s="45">
        <v>15.497</v>
      </c>
      <c r="I18" s="46">
        <v>15.981999999999999</v>
      </c>
      <c r="J18" s="47">
        <v>16.594999999999999</v>
      </c>
      <c r="K18" s="48">
        <v>15.263</v>
      </c>
      <c r="L18" s="49">
        <v>16.809000000000001</v>
      </c>
      <c r="M18" s="50">
        <v>17.338999999999999</v>
      </c>
      <c r="N18" s="51">
        <v>15.84</v>
      </c>
      <c r="O18" s="52">
        <v>17.126999999999999</v>
      </c>
      <c r="P18" s="53">
        <v>17.876999999999999</v>
      </c>
      <c r="Q18" s="54">
        <v>16.628</v>
      </c>
      <c r="R18" s="55">
        <v>18.771999999999998</v>
      </c>
      <c r="S18" s="56">
        <v>19.082000000000001</v>
      </c>
      <c r="T18" s="57">
        <v>18.126000000000001</v>
      </c>
      <c r="U18" s="40">
        <v>20.206</v>
      </c>
      <c r="V18" s="41">
        <v>20.213000000000001</v>
      </c>
      <c r="W18" s="42">
        <v>19.242999999999999</v>
      </c>
      <c r="X18" s="43">
        <v>19.431000000000001</v>
      </c>
      <c r="Y18" s="44">
        <v>19.613</v>
      </c>
      <c r="Z18" s="45">
        <v>18.803999999999998</v>
      </c>
      <c r="AA18" s="46">
        <v>16.803000000000001</v>
      </c>
      <c r="AB18" s="47">
        <v>17.498999999999999</v>
      </c>
      <c r="AC18" s="48">
        <v>16.164999999999999</v>
      </c>
      <c r="AD18" s="49">
        <v>16.204999999999998</v>
      </c>
      <c r="AE18" s="50">
        <v>16.344999999999999</v>
      </c>
      <c r="AF18" s="51">
        <v>15.445</v>
      </c>
      <c r="AG18" s="52">
        <v>15.318</v>
      </c>
      <c r="AH18" s="53">
        <v>15.843</v>
      </c>
      <c r="AI18" s="54">
        <v>14.768000000000001</v>
      </c>
      <c r="AJ18" s="55">
        <v>14.768000000000001</v>
      </c>
      <c r="AK18" s="56">
        <v>15.454000000000001</v>
      </c>
      <c r="AL18" s="58">
        <v>14.63</v>
      </c>
    </row>
    <row r="19" spans="2:38" ht="14.15" customHeight="1" x14ac:dyDescent="0.35">
      <c r="B19" s="59" t="s">
        <v>25</v>
      </c>
      <c r="C19" s="40">
        <v>15.102</v>
      </c>
      <c r="D19" s="41">
        <v>15.836</v>
      </c>
      <c r="E19" s="42">
        <v>14.943</v>
      </c>
      <c r="F19" s="43">
        <v>15.955</v>
      </c>
      <c r="G19" s="44">
        <v>16.327999999999999</v>
      </c>
      <c r="H19" s="45">
        <v>15.522</v>
      </c>
      <c r="I19" s="46">
        <v>15.955</v>
      </c>
      <c r="J19" s="47">
        <v>16.425999999999998</v>
      </c>
      <c r="K19" s="48">
        <v>15.316000000000001</v>
      </c>
      <c r="L19" s="49">
        <v>16.75</v>
      </c>
      <c r="M19" s="50">
        <v>17.224</v>
      </c>
      <c r="N19" s="51">
        <v>15.92</v>
      </c>
      <c r="O19" s="52">
        <v>16.992999999999999</v>
      </c>
      <c r="P19" s="53">
        <v>17.616</v>
      </c>
      <c r="Q19" s="54">
        <v>16.574000000000002</v>
      </c>
      <c r="R19" s="55">
        <v>18.695</v>
      </c>
      <c r="S19" s="56">
        <v>18.920000000000002</v>
      </c>
      <c r="T19" s="57">
        <v>18.170000000000002</v>
      </c>
      <c r="U19" s="40">
        <v>20.029</v>
      </c>
      <c r="V19" s="41">
        <v>20.012</v>
      </c>
      <c r="W19" s="42">
        <v>19.204000000000001</v>
      </c>
      <c r="X19" s="43">
        <v>19.335000000000001</v>
      </c>
      <c r="Y19" s="44">
        <v>19.401</v>
      </c>
      <c r="Z19" s="45">
        <v>18.792000000000002</v>
      </c>
      <c r="AA19" s="46">
        <v>16.599</v>
      </c>
      <c r="AB19" s="47">
        <v>17.221</v>
      </c>
      <c r="AC19" s="48">
        <v>16.138999999999999</v>
      </c>
      <c r="AD19" s="49">
        <v>16.170000000000002</v>
      </c>
      <c r="AE19" s="50">
        <v>16.172000000000001</v>
      </c>
      <c r="AF19" s="51">
        <v>15.486000000000001</v>
      </c>
      <c r="AG19" s="52">
        <v>15.234</v>
      </c>
      <c r="AH19" s="53">
        <v>15.667</v>
      </c>
      <c r="AI19" s="54">
        <v>14.894</v>
      </c>
      <c r="AJ19" s="55">
        <v>14.73</v>
      </c>
      <c r="AK19" s="56">
        <v>15.278</v>
      </c>
      <c r="AL19" s="58">
        <v>14.673</v>
      </c>
    </row>
    <row r="20" spans="2:38" ht="14.15" customHeight="1" x14ac:dyDescent="0.35">
      <c r="B20" s="59" t="s">
        <v>26</v>
      </c>
      <c r="C20" s="40">
        <v>15.029</v>
      </c>
      <c r="D20" s="41">
        <v>15.632999999999999</v>
      </c>
      <c r="E20" s="42">
        <v>14.958</v>
      </c>
      <c r="F20" s="43">
        <v>15.896000000000001</v>
      </c>
      <c r="G20" s="44">
        <v>16.213999999999999</v>
      </c>
      <c r="H20" s="45">
        <v>15.558</v>
      </c>
      <c r="I20" s="46">
        <v>15.956</v>
      </c>
      <c r="J20" s="47">
        <v>16.306999999999999</v>
      </c>
      <c r="K20" s="48">
        <v>15.375999999999999</v>
      </c>
      <c r="L20" s="49">
        <v>16.753</v>
      </c>
      <c r="M20" s="50">
        <v>17.129000000000001</v>
      </c>
      <c r="N20" s="51">
        <v>16.004999999999999</v>
      </c>
      <c r="O20" s="52">
        <v>16.931000000000001</v>
      </c>
      <c r="P20" s="53">
        <v>17.454000000000001</v>
      </c>
      <c r="Q20" s="54">
        <v>16.542999999999999</v>
      </c>
      <c r="R20" s="55">
        <v>18.625</v>
      </c>
      <c r="S20" s="56">
        <v>18.78</v>
      </c>
      <c r="T20" s="57">
        <v>18.152999999999999</v>
      </c>
      <c r="U20" s="40">
        <v>19.876999999999999</v>
      </c>
      <c r="V20" s="41">
        <v>19.815000000000001</v>
      </c>
      <c r="W20" s="42">
        <v>19.178999999999998</v>
      </c>
      <c r="X20" s="43">
        <v>19.192</v>
      </c>
      <c r="Y20" s="44">
        <v>19.277999999999999</v>
      </c>
      <c r="Z20" s="45">
        <v>18.725999999999999</v>
      </c>
      <c r="AA20" s="46">
        <v>16.518000000000001</v>
      </c>
      <c r="AB20" s="47">
        <v>17.094000000000001</v>
      </c>
      <c r="AC20" s="48">
        <v>16.097000000000001</v>
      </c>
      <c r="AD20" s="49">
        <v>16.178000000000001</v>
      </c>
      <c r="AE20" s="50">
        <v>16.079000000000001</v>
      </c>
      <c r="AF20" s="51">
        <v>15.532999999999999</v>
      </c>
      <c r="AG20" s="52">
        <v>15.236000000000001</v>
      </c>
      <c r="AH20" s="53">
        <v>15.625</v>
      </c>
      <c r="AI20" s="54">
        <v>14.959</v>
      </c>
      <c r="AJ20" s="55">
        <v>14.664</v>
      </c>
      <c r="AK20" s="56">
        <v>15.138</v>
      </c>
      <c r="AL20" s="58">
        <v>14.673999999999999</v>
      </c>
    </row>
    <row r="21" spans="2:38" ht="14.15" customHeight="1" x14ac:dyDescent="0.35">
      <c r="B21" s="59" t="s">
        <v>27</v>
      </c>
      <c r="C21" s="40">
        <v>15.19</v>
      </c>
      <c r="D21" s="41">
        <v>15.587</v>
      </c>
      <c r="E21" s="42">
        <v>15.215999999999999</v>
      </c>
      <c r="F21" s="43">
        <v>16.055</v>
      </c>
      <c r="G21" s="44">
        <v>16.231000000000002</v>
      </c>
      <c r="H21" s="45">
        <v>15.845000000000001</v>
      </c>
      <c r="I21" s="46">
        <v>16.190000000000001</v>
      </c>
      <c r="J21" s="47">
        <v>16.306999999999999</v>
      </c>
      <c r="K21" s="48">
        <v>15.721</v>
      </c>
      <c r="L21" s="49">
        <v>16.984000000000002</v>
      </c>
      <c r="M21" s="50">
        <v>17.3</v>
      </c>
      <c r="N21" s="51">
        <v>16.420999999999999</v>
      </c>
      <c r="O21" s="52">
        <v>17.111999999999998</v>
      </c>
      <c r="P21" s="53">
        <v>17.491</v>
      </c>
      <c r="Q21" s="54">
        <v>16.942</v>
      </c>
      <c r="R21" s="55">
        <v>18.751000000000001</v>
      </c>
      <c r="S21" s="56">
        <v>18.766999999999999</v>
      </c>
      <c r="T21" s="57">
        <v>18.527999999999999</v>
      </c>
      <c r="U21" s="40">
        <v>20.084</v>
      </c>
      <c r="V21" s="41">
        <v>19.870999999999999</v>
      </c>
      <c r="W21" s="42">
        <v>19.536999999999999</v>
      </c>
      <c r="X21" s="43">
        <v>19.292999999999999</v>
      </c>
      <c r="Y21" s="44">
        <v>19.184000000000001</v>
      </c>
      <c r="Z21" s="45">
        <v>19.013000000000002</v>
      </c>
      <c r="AA21" s="46">
        <v>16.613</v>
      </c>
      <c r="AB21" s="47">
        <v>17.042999999999999</v>
      </c>
      <c r="AC21" s="48">
        <v>16.398</v>
      </c>
      <c r="AD21" s="49">
        <v>16.352</v>
      </c>
      <c r="AE21" s="50">
        <v>16.161000000000001</v>
      </c>
      <c r="AF21" s="51">
        <v>15.897</v>
      </c>
      <c r="AG21" s="52">
        <v>15.417999999999999</v>
      </c>
      <c r="AH21" s="53">
        <v>15.619</v>
      </c>
      <c r="AI21" s="54">
        <v>15.331</v>
      </c>
      <c r="AJ21" s="55">
        <v>14.824999999999999</v>
      </c>
      <c r="AK21" s="56">
        <v>15.175000000000001</v>
      </c>
      <c r="AL21" s="58">
        <v>14.978999999999999</v>
      </c>
    </row>
    <row r="22" spans="2:38" ht="14.15" customHeight="1" x14ac:dyDescent="0.35">
      <c r="B22" s="59" t="s">
        <v>28</v>
      </c>
      <c r="C22" s="40">
        <v>15.066000000000001</v>
      </c>
      <c r="D22" s="41">
        <v>15.41</v>
      </c>
      <c r="E22" s="42">
        <v>15.368</v>
      </c>
      <c r="F22" s="43">
        <v>16</v>
      </c>
      <c r="G22" s="44">
        <v>16.079999999999998</v>
      </c>
      <c r="H22" s="45">
        <v>16.032</v>
      </c>
      <c r="I22" s="46">
        <v>16.138000000000002</v>
      </c>
      <c r="J22" s="47">
        <v>16.241</v>
      </c>
      <c r="K22" s="48">
        <v>15.914</v>
      </c>
      <c r="L22" s="49">
        <v>16.991</v>
      </c>
      <c r="M22" s="50">
        <v>17.315999999999999</v>
      </c>
      <c r="N22" s="51">
        <v>16.716999999999999</v>
      </c>
      <c r="O22" s="52">
        <v>17.102</v>
      </c>
      <c r="P22" s="53">
        <v>17.428999999999998</v>
      </c>
      <c r="Q22" s="54">
        <v>17.187000000000001</v>
      </c>
      <c r="R22" s="55">
        <v>18.675000000000001</v>
      </c>
      <c r="S22" s="56">
        <v>18.593</v>
      </c>
      <c r="T22" s="57">
        <v>18.632000000000001</v>
      </c>
      <c r="U22" s="40">
        <v>20.036999999999999</v>
      </c>
      <c r="V22" s="41">
        <v>19.699000000000002</v>
      </c>
      <c r="W22" s="42">
        <v>19.747</v>
      </c>
      <c r="X22" s="43">
        <v>19.32</v>
      </c>
      <c r="Y22" s="44">
        <v>19.148</v>
      </c>
      <c r="Z22" s="45">
        <v>19.204999999999998</v>
      </c>
      <c r="AA22" s="46">
        <v>16.579999999999998</v>
      </c>
      <c r="AB22" s="47">
        <v>16.946999999999999</v>
      </c>
      <c r="AC22" s="48">
        <v>16.565000000000001</v>
      </c>
      <c r="AD22" s="49">
        <v>16.399000000000001</v>
      </c>
      <c r="AE22" s="50">
        <v>16.042999999999999</v>
      </c>
      <c r="AF22" s="51">
        <v>16.145</v>
      </c>
      <c r="AG22" s="52">
        <v>15.313000000000001</v>
      </c>
      <c r="AH22" s="53">
        <v>15.516</v>
      </c>
      <c r="AI22" s="54">
        <v>15.523999999999999</v>
      </c>
      <c r="AJ22" s="55">
        <v>14.8</v>
      </c>
      <c r="AK22" s="56">
        <v>15.007999999999999</v>
      </c>
      <c r="AL22" s="58">
        <v>15.12</v>
      </c>
    </row>
    <row r="23" spans="2:38" ht="14.15" customHeight="1" x14ac:dyDescent="0.35">
      <c r="B23" s="59" t="s">
        <v>29</v>
      </c>
      <c r="C23" s="40">
        <v>15.097</v>
      </c>
      <c r="D23" s="41">
        <v>15.451000000000001</v>
      </c>
      <c r="E23" s="42">
        <v>15.673999999999999</v>
      </c>
      <c r="F23" s="43">
        <v>16.029</v>
      </c>
      <c r="G23" s="44">
        <v>16.161000000000001</v>
      </c>
      <c r="H23" s="45">
        <v>16.341999999999999</v>
      </c>
      <c r="I23" s="46">
        <v>16.196999999999999</v>
      </c>
      <c r="J23" s="47">
        <v>16.349</v>
      </c>
      <c r="K23" s="48">
        <v>16.25</v>
      </c>
      <c r="L23" s="49">
        <v>17.158000000000001</v>
      </c>
      <c r="M23" s="50">
        <v>17.478000000000002</v>
      </c>
      <c r="N23" s="51">
        <v>17.164999999999999</v>
      </c>
      <c r="O23" s="52">
        <v>17.196999999999999</v>
      </c>
      <c r="P23" s="53">
        <v>17.481000000000002</v>
      </c>
      <c r="Q23" s="54">
        <v>17.57</v>
      </c>
      <c r="R23" s="55">
        <v>18.591000000000001</v>
      </c>
      <c r="S23" s="56">
        <v>18.384</v>
      </c>
      <c r="T23" s="57">
        <v>18.853000000000002</v>
      </c>
      <c r="U23" s="40">
        <v>20.029</v>
      </c>
      <c r="V23" s="41">
        <v>19.728999999999999</v>
      </c>
      <c r="W23" s="42">
        <v>20.033999999999999</v>
      </c>
      <c r="X23" s="43">
        <v>19.356999999999999</v>
      </c>
      <c r="Y23" s="44">
        <v>19.137</v>
      </c>
      <c r="Z23" s="45">
        <v>19.539000000000001</v>
      </c>
      <c r="AA23" s="46">
        <v>16.603999999999999</v>
      </c>
      <c r="AB23" s="47">
        <v>17.041</v>
      </c>
      <c r="AC23" s="48">
        <v>16.916</v>
      </c>
      <c r="AD23" s="49">
        <v>16.513000000000002</v>
      </c>
      <c r="AE23" s="50">
        <v>16.187000000000001</v>
      </c>
      <c r="AF23" s="51">
        <v>16.591000000000001</v>
      </c>
      <c r="AG23" s="52">
        <v>15.442</v>
      </c>
      <c r="AH23" s="53">
        <v>15.587</v>
      </c>
      <c r="AI23" s="54">
        <v>15.923</v>
      </c>
      <c r="AJ23" s="55">
        <v>14.858000000000001</v>
      </c>
      <c r="AK23" s="56">
        <v>15.086</v>
      </c>
      <c r="AL23" s="58">
        <v>15.462</v>
      </c>
    </row>
    <row r="24" spans="2:38" ht="14.15" customHeight="1" x14ac:dyDescent="0.35">
      <c r="B24" s="59" t="s">
        <v>30</v>
      </c>
      <c r="C24" s="40">
        <v>15.311999999999999</v>
      </c>
      <c r="D24" s="41">
        <v>15.711</v>
      </c>
      <c r="E24" s="42">
        <v>16.221</v>
      </c>
      <c r="F24" s="43">
        <v>16.318999999999999</v>
      </c>
      <c r="G24" s="44">
        <v>16.556000000000001</v>
      </c>
      <c r="H24" s="45">
        <v>16.951000000000001</v>
      </c>
      <c r="I24" s="46">
        <v>16.568000000000001</v>
      </c>
      <c r="J24" s="47">
        <v>16.721</v>
      </c>
      <c r="K24" s="48">
        <v>16.978000000000002</v>
      </c>
      <c r="L24" s="49">
        <v>17.591999999999999</v>
      </c>
      <c r="M24" s="50">
        <v>17.937999999999999</v>
      </c>
      <c r="N24" s="51">
        <v>18.004999999999999</v>
      </c>
      <c r="O24" s="52">
        <v>17.489000000000001</v>
      </c>
      <c r="P24" s="53">
        <v>17.702000000000002</v>
      </c>
      <c r="Q24" s="54">
        <v>18.216000000000001</v>
      </c>
      <c r="R24" s="55">
        <v>18.318999999999999</v>
      </c>
      <c r="S24" s="56">
        <v>18.181000000000001</v>
      </c>
      <c r="T24" s="57">
        <v>19.045000000000002</v>
      </c>
      <c r="U24" s="40">
        <v>19.969000000000001</v>
      </c>
      <c r="V24" s="41">
        <v>19.640999999999998</v>
      </c>
      <c r="W24" s="42">
        <v>20.309000000000001</v>
      </c>
      <c r="X24" s="43">
        <v>19.536999999999999</v>
      </c>
      <c r="Y24" s="44">
        <v>19.376999999999999</v>
      </c>
      <c r="Z24" s="45">
        <v>20.053999999999998</v>
      </c>
      <c r="AA24" s="46">
        <v>16.934999999999999</v>
      </c>
      <c r="AB24" s="47">
        <v>17.280999999999999</v>
      </c>
      <c r="AC24" s="48">
        <v>17.667000000000002</v>
      </c>
      <c r="AD24" s="49">
        <v>17.007999999999999</v>
      </c>
      <c r="AE24" s="50">
        <v>16.616</v>
      </c>
      <c r="AF24" s="51">
        <v>17.477</v>
      </c>
      <c r="AG24" s="52">
        <v>15.726000000000001</v>
      </c>
      <c r="AH24" s="53">
        <v>15.893000000000001</v>
      </c>
      <c r="AI24" s="54">
        <v>16.521999999999998</v>
      </c>
      <c r="AJ24" s="55">
        <v>15.079000000000001</v>
      </c>
      <c r="AK24" s="56">
        <v>15.329000000000001</v>
      </c>
      <c r="AL24" s="58">
        <v>15.972</v>
      </c>
    </row>
    <row r="25" spans="2:38" ht="14.15" customHeight="1" x14ac:dyDescent="0.35">
      <c r="B25" s="59" t="s">
        <v>31</v>
      </c>
      <c r="C25" s="40">
        <v>15.366</v>
      </c>
      <c r="D25" s="41">
        <v>15.734</v>
      </c>
      <c r="E25" s="42">
        <v>16.82</v>
      </c>
      <c r="F25" s="43">
        <v>16.315999999999999</v>
      </c>
      <c r="G25" s="44">
        <v>16.616</v>
      </c>
      <c r="H25" s="45">
        <v>17.561</v>
      </c>
      <c r="I25" s="46">
        <v>16.721</v>
      </c>
      <c r="J25" s="47">
        <v>16.902000000000001</v>
      </c>
      <c r="K25" s="48">
        <v>17.712</v>
      </c>
      <c r="L25" s="49">
        <v>17.824000000000002</v>
      </c>
      <c r="M25" s="50">
        <v>18.242999999999999</v>
      </c>
      <c r="N25" s="51">
        <v>19.082000000000001</v>
      </c>
      <c r="O25" s="52">
        <v>17.61</v>
      </c>
      <c r="P25" s="53">
        <v>17.917000000000002</v>
      </c>
      <c r="Q25" s="54">
        <v>19.09</v>
      </c>
      <c r="R25" s="55">
        <v>18.672000000000001</v>
      </c>
      <c r="S25" s="56">
        <v>18.518999999999998</v>
      </c>
      <c r="T25" s="57">
        <v>20.067</v>
      </c>
      <c r="U25" s="40">
        <v>20.277999999999999</v>
      </c>
      <c r="V25" s="41">
        <v>19.858000000000001</v>
      </c>
      <c r="W25" s="42">
        <v>21.138999999999999</v>
      </c>
      <c r="X25" s="43">
        <v>19.960999999999999</v>
      </c>
      <c r="Y25" s="44">
        <v>19.805</v>
      </c>
      <c r="Z25" s="45">
        <v>21.111999999999998</v>
      </c>
      <c r="AA25" s="46">
        <v>17.268999999999998</v>
      </c>
      <c r="AB25" s="47">
        <v>17.61</v>
      </c>
      <c r="AC25" s="48">
        <v>18.736999999999998</v>
      </c>
      <c r="AD25" s="49">
        <v>17.248999999999999</v>
      </c>
      <c r="AE25" s="50">
        <v>16.850000000000001</v>
      </c>
      <c r="AF25" s="51">
        <v>18.375</v>
      </c>
      <c r="AG25" s="52">
        <v>15.779</v>
      </c>
      <c r="AH25" s="53">
        <v>15.977</v>
      </c>
      <c r="AI25" s="54">
        <v>17.251999999999999</v>
      </c>
      <c r="AJ25" s="55">
        <v>15.212</v>
      </c>
      <c r="AK25" s="56">
        <v>15.461</v>
      </c>
      <c r="AL25" s="58">
        <v>16.608000000000001</v>
      </c>
    </row>
    <row r="26" spans="2:38" ht="14.15" customHeight="1" x14ac:dyDescent="0.35">
      <c r="B26" s="59" t="s">
        <v>32</v>
      </c>
      <c r="C26" s="40">
        <v>15.192</v>
      </c>
      <c r="D26" s="41">
        <v>15.488</v>
      </c>
      <c r="E26" s="42">
        <v>17.16</v>
      </c>
      <c r="F26" s="43">
        <v>16.189</v>
      </c>
      <c r="G26" s="44">
        <v>16.402999999999999</v>
      </c>
      <c r="H26" s="45">
        <v>17.922000000000001</v>
      </c>
      <c r="I26" s="46">
        <v>16.622</v>
      </c>
      <c r="J26" s="47">
        <v>16.702999999999999</v>
      </c>
      <c r="K26" s="48">
        <v>18.123999999999999</v>
      </c>
      <c r="L26" s="49">
        <v>17.925000000000001</v>
      </c>
      <c r="M26" s="50">
        <v>18.266999999999999</v>
      </c>
      <c r="N26" s="51">
        <v>19.712</v>
      </c>
      <c r="O26" s="52">
        <v>17.449000000000002</v>
      </c>
      <c r="P26" s="53">
        <v>17.62</v>
      </c>
      <c r="Q26" s="54">
        <v>19.417999999999999</v>
      </c>
      <c r="R26" s="55">
        <v>18.658000000000001</v>
      </c>
      <c r="S26" s="56">
        <v>18.263000000000002</v>
      </c>
      <c r="T26" s="57">
        <v>20.370999999999999</v>
      </c>
      <c r="U26" s="40">
        <v>20.129000000000001</v>
      </c>
      <c r="V26" s="41">
        <v>19.638999999999999</v>
      </c>
      <c r="W26" s="42">
        <v>21.334</v>
      </c>
      <c r="X26" s="43">
        <v>19.923999999999999</v>
      </c>
      <c r="Y26" s="44">
        <v>19.619</v>
      </c>
      <c r="Z26" s="45">
        <v>21.535</v>
      </c>
      <c r="AA26" s="46">
        <v>17.28</v>
      </c>
      <c r="AB26" s="47">
        <v>17.564</v>
      </c>
      <c r="AC26" s="48">
        <v>19.344000000000001</v>
      </c>
      <c r="AD26" s="49">
        <v>17.277999999999999</v>
      </c>
      <c r="AE26" s="50">
        <v>16.774000000000001</v>
      </c>
      <c r="AF26" s="51">
        <v>18.933</v>
      </c>
      <c r="AG26" s="52">
        <v>15.694000000000001</v>
      </c>
      <c r="AH26" s="53">
        <v>15.826000000000001</v>
      </c>
      <c r="AI26" s="54">
        <v>17.722999999999999</v>
      </c>
      <c r="AJ26" s="55">
        <v>15.147</v>
      </c>
      <c r="AK26" s="56">
        <v>15.287000000000001</v>
      </c>
      <c r="AL26" s="58">
        <v>16.960999999999999</v>
      </c>
    </row>
    <row r="27" spans="2:38" ht="14.15" customHeight="1" x14ac:dyDescent="0.35">
      <c r="B27" s="59" t="s">
        <v>33</v>
      </c>
      <c r="C27" s="40">
        <v>15.337999999999999</v>
      </c>
      <c r="D27" s="41">
        <v>15.586</v>
      </c>
      <c r="E27" s="42">
        <v>18.039000000000001</v>
      </c>
      <c r="F27" s="43">
        <v>16.318000000000001</v>
      </c>
      <c r="G27" s="44">
        <v>16.553999999999998</v>
      </c>
      <c r="H27" s="45">
        <v>18.82</v>
      </c>
      <c r="I27" s="46">
        <v>16.762</v>
      </c>
      <c r="J27" s="47">
        <v>16.891999999999999</v>
      </c>
      <c r="K27" s="48">
        <v>19.010000000000002</v>
      </c>
      <c r="L27" s="49">
        <v>18.207999999999998</v>
      </c>
      <c r="M27" s="50">
        <v>18.510999999999999</v>
      </c>
      <c r="N27" s="51">
        <v>20.72</v>
      </c>
      <c r="O27" s="52">
        <v>17.774000000000001</v>
      </c>
      <c r="P27" s="53">
        <v>17.937000000000001</v>
      </c>
      <c r="Q27" s="54">
        <v>20.47</v>
      </c>
      <c r="R27" s="55">
        <v>19.119</v>
      </c>
      <c r="S27" s="56">
        <v>18.591999999999999</v>
      </c>
      <c r="T27" s="57">
        <v>21.471</v>
      </c>
      <c r="U27" s="40">
        <v>20.442</v>
      </c>
      <c r="V27" s="41">
        <v>19.960999999999999</v>
      </c>
      <c r="W27" s="42">
        <v>22.068000000000001</v>
      </c>
      <c r="X27" s="43">
        <v>20.329999999999998</v>
      </c>
      <c r="Y27" s="44">
        <v>19.922000000000001</v>
      </c>
      <c r="Z27" s="45">
        <v>22.381</v>
      </c>
      <c r="AA27" s="46">
        <v>17.766999999999999</v>
      </c>
      <c r="AB27" s="47">
        <v>17.984999999999999</v>
      </c>
      <c r="AC27" s="48">
        <v>20.657</v>
      </c>
      <c r="AD27" s="49">
        <v>17.600999999999999</v>
      </c>
      <c r="AE27" s="50">
        <v>17.164999999999999</v>
      </c>
      <c r="AF27" s="51">
        <v>19.960999999999999</v>
      </c>
      <c r="AG27" s="52">
        <v>15.929</v>
      </c>
      <c r="AH27" s="53">
        <v>16.044</v>
      </c>
      <c r="AI27" s="54">
        <v>18.736000000000001</v>
      </c>
      <c r="AJ27" s="55">
        <v>15.361000000000001</v>
      </c>
      <c r="AK27" s="56">
        <v>15.484</v>
      </c>
      <c r="AL27" s="58">
        <v>17.818999999999999</v>
      </c>
    </row>
    <row r="28" spans="2:38" ht="14.15" customHeight="1" x14ac:dyDescent="0.35">
      <c r="B28" s="59" t="s">
        <v>34</v>
      </c>
      <c r="C28" s="40">
        <v>15.819000000000001</v>
      </c>
      <c r="D28" s="41">
        <v>15.829000000000001</v>
      </c>
      <c r="E28" s="42">
        <v>19.088999999999999</v>
      </c>
      <c r="F28" s="43">
        <v>16.829999999999998</v>
      </c>
      <c r="G28" s="44">
        <v>16.878</v>
      </c>
      <c r="H28" s="45">
        <v>19.93</v>
      </c>
      <c r="I28" s="46">
        <v>17.166</v>
      </c>
      <c r="J28" s="47">
        <v>17.312000000000001</v>
      </c>
      <c r="K28" s="48">
        <v>19.974</v>
      </c>
      <c r="L28" s="49">
        <v>18.641999999999999</v>
      </c>
      <c r="M28" s="50">
        <v>18.79</v>
      </c>
      <c r="N28" s="51">
        <v>21.722999999999999</v>
      </c>
      <c r="O28" s="52">
        <v>18.295000000000002</v>
      </c>
      <c r="P28" s="53">
        <v>18.266999999999999</v>
      </c>
      <c r="Q28" s="54">
        <v>21.399000000000001</v>
      </c>
      <c r="R28" s="55">
        <v>19.605</v>
      </c>
      <c r="S28" s="56">
        <v>18.84</v>
      </c>
      <c r="T28" s="57">
        <v>22.314</v>
      </c>
      <c r="U28" s="40">
        <v>20.754000000000001</v>
      </c>
      <c r="V28" s="41">
        <v>20.152999999999999</v>
      </c>
      <c r="W28" s="42">
        <v>22.631</v>
      </c>
      <c r="X28" s="43">
        <v>20.486999999999998</v>
      </c>
      <c r="Y28" s="44">
        <v>20.010000000000002</v>
      </c>
      <c r="Z28" s="45">
        <v>22.901</v>
      </c>
      <c r="AA28" s="46">
        <v>18.457000000000001</v>
      </c>
      <c r="AB28" s="47">
        <v>18.460999999999999</v>
      </c>
      <c r="AC28" s="48">
        <v>21.948</v>
      </c>
      <c r="AD28" s="49">
        <v>18.13</v>
      </c>
      <c r="AE28" s="50">
        <v>17.777000000000001</v>
      </c>
      <c r="AF28" s="51">
        <v>21.216000000000001</v>
      </c>
      <c r="AG28" s="52">
        <v>16.513000000000002</v>
      </c>
      <c r="AH28" s="53">
        <v>16.413</v>
      </c>
      <c r="AI28" s="54">
        <v>20.036999999999999</v>
      </c>
      <c r="AJ28" s="55">
        <v>15.923</v>
      </c>
      <c r="AK28" s="56">
        <v>15.797000000000001</v>
      </c>
      <c r="AL28" s="58">
        <v>18.98</v>
      </c>
    </row>
    <row r="29" spans="2:38" ht="14.15" customHeight="1" x14ac:dyDescent="0.35">
      <c r="B29" s="59" t="s">
        <v>35</v>
      </c>
      <c r="C29" s="40">
        <v>16.806000000000001</v>
      </c>
      <c r="D29" s="41">
        <v>16.478999999999999</v>
      </c>
      <c r="E29" s="42">
        <v>20.971</v>
      </c>
      <c r="F29" s="43">
        <v>17.853000000000002</v>
      </c>
      <c r="G29" s="44">
        <v>17.584</v>
      </c>
      <c r="H29" s="45">
        <v>21.876999999999999</v>
      </c>
      <c r="I29" s="46">
        <v>17.95</v>
      </c>
      <c r="J29" s="47">
        <v>17.725999999999999</v>
      </c>
      <c r="K29" s="48">
        <v>21.751000000000001</v>
      </c>
      <c r="L29" s="49">
        <v>19.591999999999999</v>
      </c>
      <c r="M29" s="50">
        <v>19.324999999999999</v>
      </c>
      <c r="N29" s="51">
        <v>23.614000000000001</v>
      </c>
      <c r="O29" s="52">
        <v>19.599</v>
      </c>
      <c r="P29" s="53">
        <v>19.207999999999998</v>
      </c>
      <c r="Q29" s="54">
        <v>23.518000000000001</v>
      </c>
      <c r="R29" s="55">
        <v>20.876000000000001</v>
      </c>
      <c r="S29" s="56">
        <v>19.847000000000001</v>
      </c>
      <c r="T29" s="57">
        <v>24.353000000000002</v>
      </c>
      <c r="U29" s="40">
        <v>22.056999999999999</v>
      </c>
      <c r="V29" s="41">
        <v>21.077999999999999</v>
      </c>
      <c r="W29" s="42">
        <v>24.414999999999999</v>
      </c>
      <c r="X29" s="43">
        <v>21.556000000000001</v>
      </c>
      <c r="Y29" s="44">
        <v>20.74</v>
      </c>
      <c r="Z29" s="45">
        <v>24.469000000000001</v>
      </c>
      <c r="AA29" s="46">
        <v>19.974</v>
      </c>
      <c r="AB29" s="47">
        <v>19.484999999999999</v>
      </c>
      <c r="AC29" s="48">
        <v>24.568000000000001</v>
      </c>
      <c r="AD29" s="49">
        <v>19.202000000000002</v>
      </c>
      <c r="AE29" s="50">
        <v>18.904</v>
      </c>
      <c r="AF29" s="51">
        <v>23.346</v>
      </c>
      <c r="AG29" s="52">
        <v>17.884</v>
      </c>
      <c r="AH29" s="53">
        <v>17.413</v>
      </c>
      <c r="AI29" s="54">
        <v>22.347000000000001</v>
      </c>
      <c r="AJ29" s="55">
        <v>17.001999999999999</v>
      </c>
      <c r="AK29" s="56">
        <v>16.683</v>
      </c>
      <c r="AL29" s="58">
        <v>21.091999999999999</v>
      </c>
    </row>
    <row r="30" spans="2:38" ht="14.15" customHeight="1" x14ac:dyDescent="0.35">
      <c r="B30" s="59" t="s">
        <v>36</v>
      </c>
      <c r="C30" s="40">
        <v>17.632000000000001</v>
      </c>
      <c r="D30" s="41">
        <v>17.096</v>
      </c>
      <c r="E30" s="42">
        <v>22.609000000000002</v>
      </c>
      <c r="F30" s="43">
        <v>18.696000000000002</v>
      </c>
      <c r="G30" s="44">
        <v>18.324000000000002</v>
      </c>
      <c r="H30" s="45">
        <v>23.571000000000002</v>
      </c>
      <c r="I30" s="46">
        <v>18.809999999999999</v>
      </c>
      <c r="J30" s="47">
        <v>18.334</v>
      </c>
      <c r="K30" s="48">
        <v>23.265999999999998</v>
      </c>
      <c r="L30" s="49">
        <v>20.337</v>
      </c>
      <c r="M30" s="50">
        <v>19.835000000000001</v>
      </c>
      <c r="N30" s="51">
        <v>24.946000000000002</v>
      </c>
      <c r="O30" s="52">
        <v>20.413</v>
      </c>
      <c r="P30" s="53">
        <v>19.798999999999999</v>
      </c>
      <c r="Q30" s="54">
        <v>25.02</v>
      </c>
      <c r="R30" s="55">
        <v>21.632000000000001</v>
      </c>
      <c r="S30" s="56">
        <v>20.318999999999999</v>
      </c>
      <c r="T30" s="57">
        <v>25.72</v>
      </c>
      <c r="U30" s="40">
        <v>22.765999999999998</v>
      </c>
      <c r="V30" s="41">
        <v>21.48</v>
      </c>
      <c r="W30" s="42">
        <v>25.428999999999998</v>
      </c>
      <c r="X30" s="43">
        <v>21.9</v>
      </c>
      <c r="Y30" s="44">
        <v>20.917000000000002</v>
      </c>
      <c r="Z30" s="45">
        <v>25.242000000000001</v>
      </c>
      <c r="AA30" s="46">
        <v>20.837</v>
      </c>
      <c r="AB30" s="47">
        <v>20.048999999999999</v>
      </c>
      <c r="AC30" s="48">
        <v>26.218</v>
      </c>
      <c r="AD30" s="49">
        <v>20.012</v>
      </c>
      <c r="AE30" s="50">
        <v>19.702999999999999</v>
      </c>
      <c r="AF30" s="51">
        <v>25.003</v>
      </c>
      <c r="AG30" s="52">
        <v>18.902999999999999</v>
      </c>
      <c r="AH30" s="53">
        <v>18.202000000000002</v>
      </c>
      <c r="AI30" s="54">
        <v>24.192</v>
      </c>
      <c r="AJ30" s="55">
        <v>17.895</v>
      </c>
      <c r="AK30" s="56">
        <v>17.404</v>
      </c>
      <c r="AL30" s="58">
        <v>22.695</v>
      </c>
    </row>
    <row r="31" spans="2:38" ht="14.15" customHeight="1" x14ac:dyDescent="0.35">
      <c r="B31" s="59" t="s">
        <v>37</v>
      </c>
      <c r="C31" s="40">
        <v>18.582000000000001</v>
      </c>
      <c r="D31" s="41">
        <v>17.725000000000001</v>
      </c>
      <c r="E31" s="42">
        <v>23.815999999999999</v>
      </c>
      <c r="F31" s="43">
        <v>19.843</v>
      </c>
      <c r="G31" s="44">
        <v>19.173999999999999</v>
      </c>
      <c r="H31" s="45">
        <v>24.853999999999999</v>
      </c>
      <c r="I31" s="46">
        <v>19.834</v>
      </c>
      <c r="J31" s="47">
        <v>19.026</v>
      </c>
      <c r="K31" s="48">
        <v>24.071999999999999</v>
      </c>
      <c r="L31" s="49">
        <v>21.321999999999999</v>
      </c>
      <c r="M31" s="50">
        <v>20.722000000000001</v>
      </c>
      <c r="N31" s="51">
        <v>25.774999999999999</v>
      </c>
      <c r="O31" s="52">
        <v>21.512</v>
      </c>
      <c r="P31" s="53">
        <v>20.68</v>
      </c>
      <c r="Q31" s="54">
        <v>25.959</v>
      </c>
      <c r="R31" s="55">
        <v>22.652000000000001</v>
      </c>
      <c r="S31" s="56">
        <v>21.157</v>
      </c>
      <c r="T31" s="57">
        <v>26.763999999999999</v>
      </c>
      <c r="U31" s="40">
        <v>23.699000000000002</v>
      </c>
      <c r="V31" s="41">
        <v>22.318999999999999</v>
      </c>
      <c r="W31" s="42">
        <v>26.209</v>
      </c>
      <c r="X31" s="43">
        <v>22.8</v>
      </c>
      <c r="Y31" s="44">
        <v>21.619</v>
      </c>
      <c r="Z31" s="45">
        <v>25.837</v>
      </c>
      <c r="AA31" s="46">
        <v>21.812999999999999</v>
      </c>
      <c r="AB31" s="47">
        <v>20.72</v>
      </c>
      <c r="AC31" s="48">
        <v>27.326000000000001</v>
      </c>
      <c r="AD31" s="49">
        <v>21.074000000000002</v>
      </c>
      <c r="AE31" s="50">
        <v>20.623999999999999</v>
      </c>
      <c r="AF31" s="51">
        <v>26.149000000000001</v>
      </c>
      <c r="AG31" s="52">
        <v>20.128</v>
      </c>
      <c r="AH31" s="53">
        <v>19.016999999999999</v>
      </c>
      <c r="AI31" s="54">
        <v>25.63</v>
      </c>
      <c r="AJ31" s="55">
        <v>18.812999999999999</v>
      </c>
      <c r="AK31" s="56">
        <v>18.116</v>
      </c>
      <c r="AL31" s="58">
        <v>23.99</v>
      </c>
    </row>
    <row r="32" spans="2:38" ht="14.15" customHeight="1" x14ac:dyDescent="0.35">
      <c r="B32" s="59" t="s">
        <v>38</v>
      </c>
      <c r="C32" s="40">
        <v>19.477</v>
      </c>
      <c r="D32" s="41">
        <v>18.318000000000001</v>
      </c>
      <c r="E32" s="42">
        <v>24.573</v>
      </c>
      <c r="F32" s="43">
        <v>20.779</v>
      </c>
      <c r="G32" s="44">
        <v>19.951000000000001</v>
      </c>
      <c r="H32" s="45">
        <v>25.611999999999998</v>
      </c>
      <c r="I32" s="46">
        <v>20.989000000000001</v>
      </c>
      <c r="J32" s="47">
        <v>19.882999999999999</v>
      </c>
      <c r="K32" s="48">
        <v>24.548999999999999</v>
      </c>
      <c r="L32" s="49">
        <v>22.818000000000001</v>
      </c>
      <c r="M32" s="50">
        <v>21.797999999999998</v>
      </c>
      <c r="N32" s="51">
        <v>26.431000000000001</v>
      </c>
      <c r="O32" s="52">
        <v>22.934000000000001</v>
      </c>
      <c r="P32" s="53">
        <v>21.771999999999998</v>
      </c>
      <c r="Q32" s="54">
        <v>26.762</v>
      </c>
      <c r="R32" s="55">
        <v>23.879000000000001</v>
      </c>
      <c r="S32" s="56">
        <v>21.952999999999999</v>
      </c>
      <c r="T32" s="57">
        <v>27.425000000000001</v>
      </c>
      <c r="U32" s="40">
        <v>24.75</v>
      </c>
      <c r="V32" s="41">
        <v>23.123999999999999</v>
      </c>
      <c r="W32" s="42">
        <v>26.885999999999999</v>
      </c>
      <c r="X32" s="43">
        <v>23.876000000000001</v>
      </c>
      <c r="Y32" s="44">
        <v>22.446000000000002</v>
      </c>
      <c r="Z32" s="45">
        <v>26.271000000000001</v>
      </c>
      <c r="AA32" s="46">
        <v>22.881</v>
      </c>
      <c r="AB32" s="47">
        <v>21.54</v>
      </c>
      <c r="AC32" s="48">
        <v>27.829000000000001</v>
      </c>
      <c r="AD32" s="49">
        <v>22.370999999999999</v>
      </c>
      <c r="AE32" s="50">
        <v>21.725999999999999</v>
      </c>
      <c r="AF32" s="51">
        <v>27.09</v>
      </c>
      <c r="AG32" s="52">
        <v>21.254999999999999</v>
      </c>
      <c r="AH32" s="53">
        <v>19.905999999999999</v>
      </c>
      <c r="AI32" s="54">
        <v>26.443999999999999</v>
      </c>
      <c r="AJ32" s="55">
        <v>19.716000000000001</v>
      </c>
      <c r="AK32" s="56">
        <v>18.899000000000001</v>
      </c>
      <c r="AL32" s="58">
        <v>24.942</v>
      </c>
    </row>
    <row r="33" spans="2:38" ht="14.15" customHeight="1" x14ac:dyDescent="0.35">
      <c r="B33" s="59" t="s">
        <v>39</v>
      </c>
      <c r="C33" s="40">
        <v>21.015000000000001</v>
      </c>
      <c r="D33" s="41">
        <v>19.524000000000001</v>
      </c>
      <c r="E33" s="42">
        <v>25.042000000000002</v>
      </c>
      <c r="F33" s="43">
        <v>22.408999999999999</v>
      </c>
      <c r="G33" s="44">
        <v>21.396999999999998</v>
      </c>
      <c r="H33" s="45">
        <v>25.863</v>
      </c>
      <c r="I33" s="46">
        <v>22.626999999999999</v>
      </c>
      <c r="J33" s="47">
        <v>21.347999999999999</v>
      </c>
      <c r="K33" s="48">
        <v>24.741</v>
      </c>
      <c r="L33" s="49">
        <v>24.844999999999999</v>
      </c>
      <c r="M33" s="50">
        <v>23.527999999999999</v>
      </c>
      <c r="N33" s="51">
        <v>26.931999999999999</v>
      </c>
      <c r="O33" s="52">
        <v>24.888999999999999</v>
      </c>
      <c r="P33" s="53">
        <v>23.562000000000001</v>
      </c>
      <c r="Q33" s="54">
        <v>27.367999999999999</v>
      </c>
      <c r="R33" s="55">
        <v>25.649000000000001</v>
      </c>
      <c r="S33" s="56">
        <v>23.448</v>
      </c>
      <c r="T33" s="57">
        <v>28.003</v>
      </c>
      <c r="U33" s="40">
        <v>26.516999999999999</v>
      </c>
      <c r="V33" s="41">
        <v>24.606999999999999</v>
      </c>
      <c r="W33" s="42">
        <v>27.683</v>
      </c>
      <c r="X33" s="43">
        <v>25.501000000000001</v>
      </c>
      <c r="Y33" s="44">
        <v>24.015000000000001</v>
      </c>
      <c r="Z33" s="45">
        <v>26.797999999999998</v>
      </c>
      <c r="AA33" s="46">
        <v>24.623000000000001</v>
      </c>
      <c r="AB33" s="47">
        <v>23.02</v>
      </c>
      <c r="AC33" s="48">
        <v>27.951000000000001</v>
      </c>
      <c r="AD33" s="49">
        <v>24.009</v>
      </c>
      <c r="AE33" s="50">
        <v>23.31</v>
      </c>
      <c r="AF33" s="51">
        <v>27.579000000000001</v>
      </c>
      <c r="AG33" s="52">
        <v>23.062999999999999</v>
      </c>
      <c r="AH33" s="53">
        <v>21.327000000000002</v>
      </c>
      <c r="AI33" s="54">
        <v>26.946999999999999</v>
      </c>
      <c r="AJ33" s="55">
        <v>21.262</v>
      </c>
      <c r="AK33" s="56">
        <v>20.318999999999999</v>
      </c>
      <c r="AL33" s="58">
        <v>25.666</v>
      </c>
    </row>
    <row r="34" spans="2:38" ht="14.15" customHeight="1" x14ac:dyDescent="0.35">
      <c r="B34" s="59" t="s">
        <v>40</v>
      </c>
      <c r="C34" s="40">
        <v>22.34</v>
      </c>
      <c r="D34" s="41">
        <v>20.477</v>
      </c>
      <c r="E34" s="42">
        <v>25.241</v>
      </c>
      <c r="F34" s="43">
        <v>23.933</v>
      </c>
      <c r="G34" s="44">
        <v>22.701000000000001</v>
      </c>
      <c r="H34" s="45">
        <v>25.844000000000001</v>
      </c>
      <c r="I34" s="46">
        <v>24.247</v>
      </c>
      <c r="J34" s="47">
        <v>22.757000000000001</v>
      </c>
      <c r="K34" s="48">
        <v>24.635999999999999</v>
      </c>
      <c r="L34" s="49">
        <v>26.626999999999999</v>
      </c>
      <c r="M34" s="50">
        <v>25.219000000000001</v>
      </c>
      <c r="N34" s="51">
        <v>26.914000000000001</v>
      </c>
      <c r="O34" s="52">
        <v>26.593</v>
      </c>
      <c r="P34" s="53">
        <v>25.175999999999998</v>
      </c>
      <c r="Q34" s="54">
        <v>27.428000000000001</v>
      </c>
      <c r="R34" s="55">
        <v>27.382999999999999</v>
      </c>
      <c r="S34" s="56">
        <v>24.812999999999999</v>
      </c>
      <c r="T34" s="57">
        <v>28.186</v>
      </c>
      <c r="U34" s="40">
        <v>28.135999999999999</v>
      </c>
      <c r="V34" s="41">
        <v>26.134</v>
      </c>
      <c r="W34" s="42">
        <v>28.163</v>
      </c>
      <c r="X34" s="43">
        <v>27.085000000000001</v>
      </c>
      <c r="Y34" s="44">
        <v>25.416</v>
      </c>
      <c r="Z34" s="45">
        <v>27.122</v>
      </c>
      <c r="AA34" s="46">
        <v>26.341999999999999</v>
      </c>
      <c r="AB34" s="47">
        <v>24.603000000000002</v>
      </c>
      <c r="AC34" s="48">
        <v>27.69</v>
      </c>
      <c r="AD34" s="49">
        <v>25.331</v>
      </c>
      <c r="AE34" s="50">
        <v>24.745000000000001</v>
      </c>
      <c r="AF34" s="51">
        <v>27.594999999999999</v>
      </c>
      <c r="AG34" s="52">
        <v>24.63</v>
      </c>
      <c r="AH34" s="53">
        <v>22.602</v>
      </c>
      <c r="AI34" s="54">
        <v>26.751000000000001</v>
      </c>
      <c r="AJ34" s="55">
        <v>22.661000000000001</v>
      </c>
      <c r="AK34" s="56">
        <v>21.471</v>
      </c>
      <c r="AL34" s="58">
        <v>26.044</v>
      </c>
    </row>
    <row r="35" spans="2:38" ht="14.15" customHeight="1" x14ac:dyDescent="0.35">
      <c r="B35" s="59" t="s">
        <v>41</v>
      </c>
      <c r="C35" s="40">
        <v>23.946999999999999</v>
      </c>
      <c r="D35" s="41">
        <v>21.806999999999999</v>
      </c>
      <c r="E35" s="42">
        <v>25.077999999999999</v>
      </c>
      <c r="F35" s="43">
        <v>25.588999999999999</v>
      </c>
      <c r="G35" s="44">
        <v>24.678999999999998</v>
      </c>
      <c r="H35" s="45">
        <v>25.419</v>
      </c>
      <c r="I35" s="46">
        <v>26.004000000000001</v>
      </c>
      <c r="J35" s="47">
        <v>24.413</v>
      </c>
      <c r="K35" s="48">
        <v>24.43</v>
      </c>
      <c r="L35" s="49">
        <v>28.527999999999999</v>
      </c>
      <c r="M35" s="50">
        <v>27.158000000000001</v>
      </c>
      <c r="N35" s="51">
        <v>26.617000000000001</v>
      </c>
      <c r="O35" s="52">
        <v>28.460999999999999</v>
      </c>
      <c r="P35" s="53">
        <v>27.116</v>
      </c>
      <c r="Q35" s="54">
        <v>27.221</v>
      </c>
      <c r="R35" s="55">
        <v>29.100999999999999</v>
      </c>
      <c r="S35" s="56">
        <v>26.606999999999999</v>
      </c>
      <c r="T35" s="57">
        <v>27.927</v>
      </c>
      <c r="U35" s="40">
        <v>29.763999999999999</v>
      </c>
      <c r="V35" s="41">
        <v>27.948</v>
      </c>
      <c r="W35" s="42">
        <v>28.379000000000001</v>
      </c>
      <c r="X35" s="43">
        <v>28.681000000000001</v>
      </c>
      <c r="Y35" s="44">
        <v>27.300999999999998</v>
      </c>
      <c r="Z35" s="45">
        <v>27.125</v>
      </c>
      <c r="AA35" s="46">
        <v>28.324999999999999</v>
      </c>
      <c r="AB35" s="47">
        <v>26.617999999999999</v>
      </c>
      <c r="AC35" s="48">
        <v>27.19</v>
      </c>
      <c r="AD35" s="49">
        <v>26.92</v>
      </c>
      <c r="AE35" s="50">
        <v>26.515999999999998</v>
      </c>
      <c r="AF35" s="51">
        <v>27.09</v>
      </c>
      <c r="AG35" s="52">
        <v>26.375</v>
      </c>
      <c r="AH35" s="53">
        <v>24.43</v>
      </c>
      <c r="AI35" s="54">
        <v>26.120999999999999</v>
      </c>
      <c r="AJ35" s="55">
        <v>24.201000000000001</v>
      </c>
      <c r="AK35" s="56">
        <v>23.106999999999999</v>
      </c>
      <c r="AL35" s="58">
        <v>25.949000000000002</v>
      </c>
    </row>
    <row r="36" spans="2:38" ht="14.15" customHeight="1" x14ac:dyDescent="0.35">
      <c r="B36" s="59" t="s">
        <v>42</v>
      </c>
      <c r="C36" s="40">
        <v>25.491</v>
      </c>
      <c r="D36" s="41">
        <v>23.378</v>
      </c>
      <c r="E36" s="42">
        <v>24.63</v>
      </c>
      <c r="F36" s="43">
        <v>27.305</v>
      </c>
      <c r="G36" s="44">
        <v>26.66</v>
      </c>
      <c r="H36" s="45">
        <v>24.933</v>
      </c>
      <c r="I36" s="46">
        <v>27.54</v>
      </c>
      <c r="J36" s="47">
        <v>26.202000000000002</v>
      </c>
      <c r="K36" s="48">
        <v>23.992999999999999</v>
      </c>
      <c r="L36" s="49">
        <v>30.116</v>
      </c>
      <c r="M36" s="50">
        <v>29.21</v>
      </c>
      <c r="N36" s="51">
        <v>26.061</v>
      </c>
      <c r="O36" s="52">
        <v>29.937000000000001</v>
      </c>
      <c r="P36" s="53">
        <v>28.971</v>
      </c>
      <c r="Q36" s="54">
        <v>26.695</v>
      </c>
      <c r="R36" s="55">
        <v>30.533000000000001</v>
      </c>
      <c r="S36" s="56">
        <v>28.167000000000002</v>
      </c>
      <c r="T36" s="57">
        <v>27.396000000000001</v>
      </c>
      <c r="U36" s="40">
        <v>31.190999999999999</v>
      </c>
      <c r="V36" s="41">
        <v>29.614999999999998</v>
      </c>
      <c r="W36" s="42">
        <v>28.222999999999999</v>
      </c>
      <c r="X36" s="43">
        <v>29.972000000000001</v>
      </c>
      <c r="Y36" s="44">
        <v>29.135999999999999</v>
      </c>
      <c r="Z36" s="45">
        <v>26.693999999999999</v>
      </c>
      <c r="AA36" s="46">
        <v>30.006</v>
      </c>
      <c r="AB36" s="47">
        <v>28.631</v>
      </c>
      <c r="AC36" s="48">
        <v>26.523</v>
      </c>
      <c r="AD36" s="49">
        <v>28.268999999999998</v>
      </c>
      <c r="AE36" s="50">
        <v>28.423999999999999</v>
      </c>
      <c r="AF36" s="51">
        <v>26.497</v>
      </c>
      <c r="AG36" s="52">
        <v>28.260999999999999</v>
      </c>
      <c r="AH36" s="53">
        <v>26.486999999999998</v>
      </c>
      <c r="AI36" s="54">
        <v>25.427</v>
      </c>
      <c r="AJ36" s="55">
        <v>25.754000000000001</v>
      </c>
      <c r="AK36" s="56">
        <v>24.891999999999999</v>
      </c>
      <c r="AL36" s="58">
        <v>25.658000000000001</v>
      </c>
    </row>
    <row r="37" spans="2:38" ht="14.15" customHeight="1" x14ac:dyDescent="0.35">
      <c r="B37" s="59" t="s">
        <v>43</v>
      </c>
      <c r="C37" s="40">
        <v>26.837</v>
      </c>
      <c r="D37" s="41">
        <v>24.844999999999999</v>
      </c>
      <c r="E37" s="42">
        <v>23.975999999999999</v>
      </c>
      <c r="F37" s="43">
        <v>28.917999999999999</v>
      </c>
      <c r="G37" s="44">
        <v>28.564</v>
      </c>
      <c r="H37" s="45">
        <v>24.315999999999999</v>
      </c>
      <c r="I37" s="46">
        <v>28.823</v>
      </c>
      <c r="J37" s="47">
        <v>28.087</v>
      </c>
      <c r="K37" s="48">
        <v>23.454999999999998</v>
      </c>
      <c r="L37" s="49">
        <v>31.707999999999998</v>
      </c>
      <c r="M37" s="50">
        <v>31.353000000000002</v>
      </c>
      <c r="N37" s="51">
        <v>25.635999999999999</v>
      </c>
      <c r="O37" s="52">
        <v>31.481000000000002</v>
      </c>
      <c r="P37" s="53">
        <v>31.052</v>
      </c>
      <c r="Q37" s="54">
        <v>26.274000000000001</v>
      </c>
      <c r="R37" s="55">
        <v>32.073</v>
      </c>
      <c r="S37" s="56">
        <v>30.048999999999999</v>
      </c>
      <c r="T37" s="57">
        <v>27.053000000000001</v>
      </c>
      <c r="U37" s="40">
        <v>32.718000000000004</v>
      </c>
      <c r="V37" s="41">
        <v>31.58</v>
      </c>
      <c r="W37" s="42">
        <v>28.02</v>
      </c>
      <c r="X37" s="43">
        <v>31.503</v>
      </c>
      <c r="Y37" s="44">
        <v>31.053000000000001</v>
      </c>
      <c r="Z37" s="45">
        <v>26.370999999999999</v>
      </c>
      <c r="AA37" s="46">
        <v>31.611000000000001</v>
      </c>
      <c r="AB37" s="47">
        <v>30.83</v>
      </c>
      <c r="AC37" s="48">
        <v>25.972999999999999</v>
      </c>
      <c r="AD37" s="49">
        <v>29.87</v>
      </c>
      <c r="AE37" s="50">
        <v>30.518999999999998</v>
      </c>
      <c r="AF37" s="51">
        <v>25.928000000000001</v>
      </c>
      <c r="AG37" s="52">
        <v>29.802</v>
      </c>
      <c r="AH37" s="53">
        <v>28.477</v>
      </c>
      <c r="AI37" s="54">
        <v>24.762</v>
      </c>
      <c r="AJ37" s="55">
        <v>26.984999999999999</v>
      </c>
      <c r="AK37" s="56">
        <v>26.521000000000001</v>
      </c>
      <c r="AL37" s="58">
        <v>25.044</v>
      </c>
    </row>
    <row r="38" spans="2:38" ht="14.15" customHeight="1" x14ac:dyDescent="0.35">
      <c r="B38" s="59" t="s">
        <v>44</v>
      </c>
      <c r="C38" s="40">
        <v>28.317</v>
      </c>
      <c r="D38" s="41">
        <v>26.51</v>
      </c>
      <c r="E38" s="42">
        <v>23.847999999999999</v>
      </c>
      <c r="F38" s="43">
        <v>30.248999999999999</v>
      </c>
      <c r="G38" s="44">
        <v>30.391999999999999</v>
      </c>
      <c r="H38" s="45">
        <v>24.111000000000001</v>
      </c>
      <c r="I38" s="46">
        <v>30.123999999999999</v>
      </c>
      <c r="J38" s="47">
        <v>29.818999999999999</v>
      </c>
      <c r="K38" s="48">
        <v>23.178999999999998</v>
      </c>
      <c r="L38" s="49">
        <v>33.084000000000003</v>
      </c>
      <c r="M38" s="50">
        <v>33.426000000000002</v>
      </c>
      <c r="N38" s="51">
        <v>25.318000000000001</v>
      </c>
      <c r="O38" s="52">
        <v>32.643000000000001</v>
      </c>
      <c r="P38" s="53">
        <v>32.890999999999998</v>
      </c>
      <c r="Q38" s="54">
        <v>25.895</v>
      </c>
      <c r="R38" s="55">
        <v>33.593000000000004</v>
      </c>
      <c r="S38" s="56">
        <v>31.923999999999999</v>
      </c>
      <c r="T38" s="57">
        <v>26.902000000000001</v>
      </c>
      <c r="U38" s="40">
        <v>34.066000000000003</v>
      </c>
      <c r="V38" s="41">
        <v>33.612000000000002</v>
      </c>
      <c r="W38" s="42">
        <v>28.11</v>
      </c>
      <c r="X38" s="43">
        <v>32.935000000000002</v>
      </c>
      <c r="Y38" s="44">
        <v>32.953000000000003</v>
      </c>
      <c r="Z38" s="45">
        <v>26.411999999999999</v>
      </c>
      <c r="AA38" s="46">
        <v>32.972000000000001</v>
      </c>
      <c r="AB38" s="47">
        <v>32.893000000000001</v>
      </c>
      <c r="AC38" s="48">
        <v>25.63</v>
      </c>
      <c r="AD38" s="49">
        <v>31.353999999999999</v>
      </c>
      <c r="AE38" s="50">
        <v>32.521999999999998</v>
      </c>
      <c r="AF38" s="51">
        <v>25.716999999999999</v>
      </c>
      <c r="AG38" s="52">
        <v>31.167999999999999</v>
      </c>
      <c r="AH38" s="53">
        <v>30.475999999999999</v>
      </c>
      <c r="AI38" s="54">
        <v>24.298999999999999</v>
      </c>
      <c r="AJ38" s="55">
        <v>28.373999999999999</v>
      </c>
      <c r="AK38" s="56">
        <v>28.385999999999999</v>
      </c>
      <c r="AL38" s="58">
        <v>24.858000000000001</v>
      </c>
    </row>
    <row r="39" spans="2:38" ht="14.15" customHeight="1" x14ac:dyDescent="0.35">
      <c r="B39" s="59" t="s">
        <v>45</v>
      </c>
      <c r="C39" s="40">
        <v>29.178999999999998</v>
      </c>
      <c r="D39" s="41">
        <v>27.710999999999999</v>
      </c>
      <c r="E39" s="42">
        <v>23.238</v>
      </c>
      <c r="F39" s="43">
        <v>30.952000000000002</v>
      </c>
      <c r="G39" s="44">
        <v>31.606000000000002</v>
      </c>
      <c r="H39" s="45">
        <v>23.498000000000001</v>
      </c>
      <c r="I39" s="46">
        <v>30.695</v>
      </c>
      <c r="J39" s="47">
        <v>31.001999999999999</v>
      </c>
      <c r="K39" s="48">
        <v>22.61</v>
      </c>
      <c r="L39" s="49">
        <v>33.859000000000002</v>
      </c>
      <c r="M39" s="50">
        <v>34.939</v>
      </c>
      <c r="N39" s="51">
        <v>24.832000000000001</v>
      </c>
      <c r="O39" s="52">
        <v>33.673000000000002</v>
      </c>
      <c r="P39" s="53">
        <v>34.308999999999997</v>
      </c>
      <c r="Q39" s="54">
        <v>25.436</v>
      </c>
      <c r="R39" s="55">
        <v>34.456000000000003</v>
      </c>
      <c r="S39" s="56">
        <v>33.517000000000003</v>
      </c>
      <c r="T39" s="57">
        <v>26.62</v>
      </c>
      <c r="U39" s="40">
        <v>35.197000000000003</v>
      </c>
      <c r="V39" s="41">
        <v>35.241</v>
      </c>
      <c r="W39" s="42">
        <v>28.087</v>
      </c>
      <c r="X39" s="43">
        <v>33.878999999999998</v>
      </c>
      <c r="Y39" s="44">
        <v>34.615000000000002</v>
      </c>
      <c r="Z39" s="45">
        <v>26.271999999999998</v>
      </c>
      <c r="AA39" s="46">
        <v>33.975000000000001</v>
      </c>
      <c r="AB39" s="47">
        <v>34.588999999999999</v>
      </c>
      <c r="AC39" s="48">
        <v>25.361999999999998</v>
      </c>
      <c r="AD39" s="49">
        <v>32.331000000000003</v>
      </c>
      <c r="AE39" s="50">
        <v>33.933</v>
      </c>
      <c r="AF39" s="51">
        <v>25.28</v>
      </c>
      <c r="AG39" s="52">
        <v>31.925000000000001</v>
      </c>
      <c r="AH39" s="53">
        <v>31.795999999999999</v>
      </c>
      <c r="AI39" s="54">
        <v>23.565999999999999</v>
      </c>
      <c r="AJ39" s="55">
        <v>29.236000000000001</v>
      </c>
      <c r="AK39" s="56">
        <v>29.838999999999999</v>
      </c>
      <c r="AL39" s="58">
        <v>24.295999999999999</v>
      </c>
    </row>
    <row r="40" spans="2:38" ht="14.15" customHeight="1" x14ac:dyDescent="0.35">
      <c r="B40" s="59" t="s">
        <v>46</v>
      </c>
      <c r="C40" s="40">
        <v>30.038</v>
      </c>
      <c r="D40" s="41">
        <v>29.097000000000001</v>
      </c>
      <c r="E40" s="42">
        <v>22.943999999999999</v>
      </c>
      <c r="F40" s="43">
        <v>31.521000000000001</v>
      </c>
      <c r="G40" s="44">
        <v>32.881999999999998</v>
      </c>
      <c r="H40" s="45">
        <v>23.082999999999998</v>
      </c>
      <c r="I40" s="46">
        <v>31.286000000000001</v>
      </c>
      <c r="J40" s="47">
        <v>32.252000000000002</v>
      </c>
      <c r="K40" s="48">
        <v>22.213000000000001</v>
      </c>
      <c r="L40" s="49">
        <v>34.633000000000003</v>
      </c>
      <c r="M40" s="50">
        <v>36.29</v>
      </c>
      <c r="N40" s="51">
        <v>24.491</v>
      </c>
      <c r="O40" s="52">
        <v>34.64</v>
      </c>
      <c r="P40" s="53">
        <v>35.655000000000001</v>
      </c>
      <c r="Q40" s="54">
        <v>25.053999999999998</v>
      </c>
      <c r="R40" s="55">
        <v>35.265000000000001</v>
      </c>
      <c r="S40" s="56">
        <v>34.921999999999997</v>
      </c>
      <c r="T40" s="57">
        <v>26.388999999999999</v>
      </c>
      <c r="U40" s="40">
        <v>36.253</v>
      </c>
      <c r="V40" s="41">
        <v>36.786000000000001</v>
      </c>
      <c r="W40" s="42">
        <v>28.096</v>
      </c>
      <c r="X40" s="43">
        <v>34.651000000000003</v>
      </c>
      <c r="Y40" s="44">
        <v>36.043999999999997</v>
      </c>
      <c r="Z40" s="45">
        <v>26.271999999999998</v>
      </c>
      <c r="AA40" s="46">
        <v>34.798000000000002</v>
      </c>
      <c r="AB40" s="47">
        <v>36.08</v>
      </c>
      <c r="AC40" s="48">
        <v>25.056000000000001</v>
      </c>
      <c r="AD40" s="49">
        <v>32.927999999999997</v>
      </c>
      <c r="AE40" s="50">
        <v>35.283999999999999</v>
      </c>
      <c r="AF40" s="51">
        <v>24.966999999999999</v>
      </c>
      <c r="AG40" s="52">
        <v>32.652000000000001</v>
      </c>
      <c r="AH40" s="53">
        <v>33.079000000000001</v>
      </c>
      <c r="AI40" s="54">
        <v>23.064</v>
      </c>
      <c r="AJ40" s="55">
        <v>30.103000000000002</v>
      </c>
      <c r="AK40" s="56">
        <v>31.353000000000002</v>
      </c>
      <c r="AL40" s="58">
        <v>23.919</v>
      </c>
    </row>
    <row r="41" spans="2:38" ht="14.15" customHeight="1" x14ac:dyDescent="0.35">
      <c r="B41" s="59" t="s">
        <v>47</v>
      </c>
      <c r="C41" s="40">
        <v>30.834</v>
      </c>
      <c r="D41" s="41">
        <v>30.411000000000001</v>
      </c>
      <c r="E41" s="42">
        <v>22.672999999999998</v>
      </c>
      <c r="F41" s="43">
        <v>32.088999999999999</v>
      </c>
      <c r="G41" s="44">
        <v>34.003999999999998</v>
      </c>
      <c r="H41" s="45">
        <v>22.81</v>
      </c>
      <c r="I41" s="46">
        <v>31.79</v>
      </c>
      <c r="J41" s="47">
        <v>33.505000000000003</v>
      </c>
      <c r="K41" s="48">
        <v>22.082000000000001</v>
      </c>
      <c r="L41" s="49">
        <v>35.220999999999997</v>
      </c>
      <c r="M41" s="50">
        <v>37.67</v>
      </c>
      <c r="N41" s="51">
        <v>24.460999999999999</v>
      </c>
      <c r="O41" s="52">
        <v>35.271999999999998</v>
      </c>
      <c r="P41" s="53">
        <v>37.006</v>
      </c>
      <c r="Q41" s="54">
        <v>25.055</v>
      </c>
      <c r="R41" s="55">
        <v>36.179000000000002</v>
      </c>
      <c r="S41" s="56">
        <v>36.387999999999998</v>
      </c>
      <c r="T41" s="57">
        <v>26.28</v>
      </c>
      <c r="U41" s="40">
        <v>37.003</v>
      </c>
      <c r="V41" s="41">
        <v>38.383000000000003</v>
      </c>
      <c r="W41" s="42">
        <v>28.306000000000001</v>
      </c>
      <c r="X41" s="43">
        <v>35.576000000000001</v>
      </c>
      <c r="Y41" s="44">
        <v>37.634999999999998</v>
      </c>
      <c r="Z41" s="45">
        <v>26.568000000000001</v>
      </c>
      <c r="AA41" s="46">
        <v>35.701000000000001</v>
      </c>
      <c r="AB41" s="47">
        <v>37.729999999999997</v>
      </c>
      <c r="AC41" s="48">
        <v>25.166</v>
      </c>
      <c r="AD41" s="49">
        <v>33.712000000000003</v>
      </c>
      <c r="AE41" s="50">
        <v>36.755000000000003</v>
      </c>
      <c r="AF41" s="51">
        <v>24.922000000000001</v>
      </c>
      <c r="AG41" s="52">
        <v>33.255000000000003</v>
      </c>
      <c r="AH41" s="53">
        <v>34.344999999999999</v>
      </c>
      <c r="AI41" s="54">
        <v>22.844000000000001</v>
      </c>
      <c r="AJ41" s="55">
        <v>30.728999999999999</v>
      </c>
      <c r="AK41" s="56">
        <v>32.723999999999997</v>
      </c>
      <c r="AL41" s="58">
        <v>23.696999999999999</v>
      </c>
    </row>
    <row r="42" spans="2:38" ht="14.15" customHeight="1" x14ac:dyDescent="0.35">
      <c r="B42" s="59" t="s">
        <v>48</v>
      </c>
      <c r="C42" s="40">
        <v>31.736999999999998</v>
      </c>
      <c r="D42" s="41">
        <v>31.831</v>
      </c>
      <c r="E42" s="42">
        <v>22.766999999999999</v>
      </c>
      <c r="F42" s="43">
        <v>32.844000000000001</v>
      </c>
      <c r="G42" s="44">
        <v>35.386000000000003</v>
      </c>
      <c r="H42" s="45">
        <v>22.818000000000001</v>
      </c>
      <c r="I42" s="46">
        <v>32.64</v>
      </c>
      <c r="J42" s="47">
        <v>34.795999999999999</v>
      </c>
      <c r="K42" s="48">
        <v>22.077000000000002</v>
      </c>
      <c r="L42" s="49">
        <v>35.862000000000002</v>
      </c>
      <c r="M42" s="50">
        <v>38.970999999999997</v>
      </c>
      <c r="N42" s="51">
        <v>24.509</v>
      </c>
      <c r="O42" s="52">
        <v>36.073</v>
      </c>
      <c r="P42" s="53">
        <v>38.203000000000003</v>
      </c>
      <c r="Q42" s="54">
        <v>24.975999999999999</v>
      </c>
      <c r="R42" s="55">
        <v>36.83</v>
      </c>
      <c r="S42" s="56">
        <v>37.701999999999998</v>
      </c>
      <c r="T42" s="57">
        <v>26.276</v>
      </c>
      <c r="U42" s="40">
        <v>37.981999999999999</v>
      </c>
      <c r="V42" s="41">
        <v>39.83</v>
      </c>
      <c r="W42" s="42">
        <v>28.449000000000002</v>
      </c>
      <c r="X42" s="43">
        <v>36.317</v>
      </c>
      <c r="Y42" s="44">
        <v>38.968000000000004</v>
      </c>
      <c r="Z42" s="45">
        <v>26.709</v>
      </c>
      <c r="AA42" s="46">
        <v>36.325000000000003</v>
      </c>
      <c r="AB42" s="47">
        <v>39.164000000000001</v>
      </c>
      <c r="AC42" s="48">
        <v>25.225000000000001</v>
      </c>
      <c r="AD42" s="49">
        <v>34.656999999999996</v>
      </c>
      <c r="AE42" s="50">
        <v>38.171999999999997</v>
      </c>
      <c r="AF42" s="51">
        <v>24.911000000000001</v>
      </c>
      <c r="AG42" s="52">
        <v>33.905999999999999</v>
      </c>
      <c r="AH42" s="53">
        <v>35.895000000000003</v>
      </c>
      <c r="AI42" s="54">
        <v>22.759</v>
      </c>
      <c r="AJ42" s="55">
        <v>31.605</v>
      </c>
      <c r="AK42" s="56">
        <v>34.213999999999999</v>
      </c>
      <c r="AL42" s="58">
        <v>23.545000000000002</v>
      </c>
    </row>
    <row r="43" spans="2:38" ht="14.15" customHeight="1" x14ac:dyDescent="0.35">
      <c r="B43" s="59" t="s">
        <v>49</v>
      </c>
      <c r="C43" s="40">
        <v>32.301000000000002</v>
      </c>
      <c r="D43" s="41">
        <v>33.055</v>
      </c>
      <c r="E43" s="42">
        <v>22.681999999999999</v>
      </c>
      <c r="F43" s="43">
        <v>33.29</v>
      </c>
      <c r="G43" s="44">
        <v>36.527000000000001</v>
      </c>
      <c r="H43" s="45">
        <v>22.707000000000001</v>
      </c>
      <c r="I43" s="46">
        <v>33.088999999999999</v>
      </c>
      <c r="J43" s="47">
        <v>35.826999999999998</v>
      </c>
      <c r="K43" s="48">
        <v>22.087</v>
      </c>
      <c r="L43" s="49">
        <v>36.286000000000001</v>
      </c>
      <c r="M43" s="50">
        <v>39.972999999999999</v>
      </c>
      <c r="N43" s="51">
        <v>24.344999999999999</v>
      </c>
      <c r="O43" s="52">
        <v>36.414999999999999</v>
      </c>
      <c r="P43" s="53">
        <v>39.192999999999998</v>
      </c>
      <c r="Q43" s="54">
        <v>24.869</v>
      </c>
      <c r="R43" s="55">
        <v>37.29</v>
      </c>
      <c r="S43" s="56">
        <v>38.933999999999997</v>
      </c>
      <c r="T43" s="57">
        <v>26.143999999999998</v>
      </c>
      <c r="U43" s="40">
        <v>38.56</v>
      </c>
      <c r="V43" s="41">
        <v>41.103000000000002</v>
      </c>
      <c r="W43" s="42">
        <v>28.427</v>
      </c>
      <c r="X43" s="43">
        <v>36.86</v>
      </c>
      <c r="Y43" s="44">
        <v>40.072000000000003</v>
      </c>
      <c r="Z43" s="45">
        <v>26.649000000000001</v>
      </c>
      <c r="AA43" s="46">
        <v>36.991</v>
      </c>
      <c r="AB43" s="47">
        <v>40.344000000000001</v>
      </c>
      <c r="AC43" s="48">
        <v>25.08</v>
      </c>
      <c r="AD43" s="49">
        <v>35.255000000000003</v>
      </c>
      <c r="AE43" s="50">
        <v>39.369</v>
      </c>
      <c r="AF43" s="51">
        <v>24.948</v>
      </c>
      <c r="AG43" s="52">
        <v>34.320999999999998</v>
      </c>
      <c r="AH43" s="53">
        <v>37.039000000000001</v>
      </c>
      <c r="AI43" s="54">
        <v>22.594999999999999</v>
      </c>
      <c r="AJ43" s="55">
        <v>32.06</v>
      </c>
      <c r="AK43" s="56">
        <v>35.448999999999998</v>
      </c>
      <c r="AL43" s="58">
        <v>23.509</v>
      </c>
    </row>
    <row r="44" spans="2:38" ht="14.15" customHeight="1" x14ac:dyDescent="0.35">
      <c r="B44" s="59" t="s">
        <v>50</v>
      </c>
      <c r="C44" s="40">
        <v>32.771000000000001</v>
      </c>
      <c r="D44" s="41">
        <v>34.137999999999998</v>
      </c>
      <c r="E44" s="42">
        <v>22.658000000000001</v>
      </c>
      <c r="F44" s="43">
        <v>33.820999999999998</v>
      </c>
      <c r="G44" s="44">
        <v>37.512</v>
      </c>
      <c r="H44" s="45">
        <v>22.608000000000001</v>
      </c>
      <c r="I44" s="46">
        <v>33.287999999999997</v>
      </c>
      <c r="J44" s="47">
        <v>36.69</v>
      </c>
      <c r="K44" s="48">
        <v>22.001999999999999</v>
      </c>
      <c r="L44" s="49">
        <v>36.481999999999999</v>
      </c>
      <c r="M44" s="50">
        <v>40.83</v>
      </c>
      <c r="N44" s="51">
        <v>24.253</v>
      </c>
      <c r="O44" s="52">
        <v>36.661000000000001</v>
      </c>
      <c r="P44" s="53">
        <v>40.048999999999999</v>
      </c>
      <c r="Q44" s="54">
        <v>24.616</v>
      </c>
      <c r="R44" s="55">
        <v>37.695</v>
      </c>
      <c r="S44" s="56">
        <v>39.881999999999998</v>
      </c>
      <c r="T44" s="57">
        <v>25.945</v>
      </c>
      <c r="U44" s="40">
        <v>38.901000000000003</v>
      </c>
      <c r="V44" s="41">
        <v>42.031999999999996</v>
      </c>
      <c r="W44" s="42">
        <v>28.344000000000001</v>
      </c>
      <c r="X44" s="43">
        <v>37.520000000000003</v>
      </c>
      <c r="Y44" s="44">
        <v>40.96</v>
      </c>
      <c r="Z44" s="45">
        <v>26.667999999999999</v>
      </c>
      <c r="AA44" s="46">
        <v>37.390999999999998</v>
      </c>
      <c r="AB44" s="47">
        <v>41.31</v>
      </c>
      <c r="AC44" s="48">
        <v>24.99</v>
      </c>
      <c r="AD44" s="49">
        <v>35.738</v>
      </c>
      <c r="AE44" s="50">
        <v>40.326999999999998</v>
      </c>
      <c r="AF44" s="51">
        <v>24.824000000000002</v>
      </c>
      <c r="AG44" s="52">
        <v>34.655000000000001</v>
      </c>
      <c r="AH44" s="53">
        <v>38.094000000000001</v>
      </c>
      <c r="AI44" s="54">
        <v>22.437999999999999</v>
      </c>
      <c r="AJ44" s="55">
        <v>32.536999999999999</v>
      </c>
      <c r="AK44" s="56">
        <v>36.624000000000002</v>
      </c>
      <c r="AL44" s="58">
        <v>23.547999999999998</v>
      </c>
    </row>
    <row r="45" spans="2:38" ht="14.15" customHeight="1" x14ac:dyDescent="0.35">
      <c r="B45" s="59" t="s">
        <v>51</v>
      </c>
      <c r="C45" s="40">
        <v>33.451000000000001</v>
      </c>
      <c r="D45" s="41">
        <v>35.270000000000003</v>
      </c>
      <c r="E45" s="42">
        <v>22.558</v>
      </c>
      <c r="F45" s="43">
        <v>34.244</v>
      </c>
      <c r="G45" s="44">
        <v>38.359000000000002</v>
      </c>
      <c r="H45" s="45">
        <v>22.388000000000002</v>
      </c>
      <c r="I45" s="46">
        <v>33.704999999999998</v>
      </c>
      <c r="J45" s="47">
        <v>37.552999999999997</v>
      </c>
      <c r="K45" s="48">
        <v>21.806000000000001</v>
      </c>
      <c r="L45" s="49">
        <v>36.85</v>
      </c>
      <c r="M45" s="50">
        <v>41.706000000000003</v>
      </c>
      <c r="N45" s="51">
        <v>24.085999999999999</v>
      </c>
      <c r="O45" s="52">
        <v>36.966999999999999</v>
      </c>
      <c r="P45" s="53">
        <v>40.826000000000001</v>
      </c>
      <c r="Q45" s="54">
        <v>24.550999999999998</v>
      </c>
      <c r="R45" s="55">
        <v>38.197000000000003</v>
      </c>
      <c r="S45" s="56">
        <v>40.765000000000001</v>
      </c>
      <c r="T45" s="57">
        <v>25.788</v>
      </c>
      <c r="U45" s="40">
        <v>39.460999999999999</v>
      </c>
      <c r="V45" s="41">
        <v>43.067999999999998</v>
      </c>
      <c r="W45" s="42">
        <v>28.352</v>
      </c>
      <c r="X45" s="43">
        <v>37.966999999999999</v>
      </c>
      <c r="Y45" s="44">
        <v>41.859000000000002</v>
      </c>
      <c r="Z45" s="45">
        <v>26.71</v>
      </c>
      <c r="AA45" s="46">
        <v>37.767000000000003</v>
      </c>
      <c r="AB45" s="47">
        <v>42.420999999999999</v>
      </c>
      <c r="AC45" s="48">
        <v>24.913</v>
      </c>
      <c r="AD45" s="49">
        <v>36.24</v>
      </c>
      <c r="AE45" s="50">
        <v>41.276000000000003</v>
      </c>
      <c r="AF45" s="51">
        <v>24.707999999999998</v>
      </c>
      <c r="AG45" s="52">
        <v>35.177</v>
      </c>
      <c r="AH45" s="53">
        <v>39.075000000000003</v>
      </c>
      <c r="AI45" s="54">
        <v>22.263000000000002</v>
      </c>
      <c r="AJ45" s="55">
        <v>33.197000000000003</v>
      </c>
      <c r="AK45" s="56">
        <v>37.719000000000001</v>
      </c>
      <c r="AL45" s="58">
        <v>23.443999999999999</v>
      </c>
    </row>
    <row r="46" spans="2:38" ht="14.15" customHeight="1" x14ac:dyDescent="0.35">
      <c r="B46" s="59" t="s">
        <v>52</v>
      </c>
      <c r="C46" s="40">
        <v>34.171999999999997</v>
      </c>
      <c r="D46" s="41">
        <v>36.411000000000001</v>
      </c>
      <c r="E46" s="42">
        <v>22.69</v>
      </c>
      <c r="F46" s="43">
        <v>34.756</v>
      </c>
      <c r="G46" s="44">
        <v>39.381999999999998</v>
      </c>
      <c r="H46" s="45">
        <v>22.335999999999999</v>
      </c>
      <c r="I46" s="46">
        <v>34.057000000000002</v>
      </c>
      <c r="J46" s="47">
        <v>38.506999999999998</v>
      </c>
      <c r="K46" s="48">
        <v>21.93</v>
      </c>
      <c r="L46" s="49">
        <v>37.17</v>
      </c>
      <c r="M46" s="50">
        <v>42.533999999999999</v>
      </c>
      <c r="N46" s="51">
        <v>24.053000000000001</v>
      </c>
      <c r="O46" s="52">
        <v>37.44</v>
      </c>
      <c r="P46" s="53">
        <v>41.613</v>
      </c>
      <c r="Q46" s="54">
        <v>24.6</v>
      </c>
      <c r="R46" s="55">
        <v>38.576000000000001</v>
      </c>
      <c r="S46" s="56">
        <v>41.646000000000001</v>
      </c>
      <c r="T46" s="57">
        <v>25.95</v>
      </c>
      <c r="U46" s="40">
        <v>39.851999999999997</v>
      </c>
      <c r="V46" s="41">
        <v>44.125999999999998</v>
      </c>
      <c r="W46" s="42">
        <v>28.654</v>
      </c>
      <c r="X46" s="43">
        <v>38.661000000000001</v>
      </c>
      <c r="Y46" s="44">
        <v>42.883000000000003</v>
      </c>
      <c r="Z46" s="45">
        <v>26.870999999999999</v>
      </c>
      <c r="AA46" s="46">
        <v>38.139000000000003</v>
      </c>
      <c r="AB46" s="47">
        <v>43.347999999999999</v>
      </c>
      <c r="AC46" s="48">
        <v>25.038</v>
      </c>
      <c r="AD46" s="49">
        <v>36.593000000000004</v>
      </c>
      <c r="AE46" s="50">
        <v>42.234999999999999</v>
      </c>
      <c r="AF46" s="51">
        <v>24.858000000000001</v>
      </c>
      <c r="AG46" s="52">
        <v>35.654000000000003</v>
      </c>
      <c r="AH46" s="53">
        <v>40.000999999999998</v>
      </c>
      <c r="AI46" s="54">
        <v>22.434999999999999</v>
      </c>
      <c r="AJ46" s="55">
        <v>33.819000000000003</v>
      </c>
      <c r="AK46" s="56">
        <v>38.854999999999997</v>
      </c>
      <c r="AL46" s="58">
        <v>23.536000000000001</v>
      </c>
    </row>
    <row r="47" spans="2:38" ht="14.15" customHeight="1" x14ac:dyDescent="0.35">
      <c r="B47" s="59" t="s">
        <v>53</v>
      </c>
      <c r="C47" s="40">
        <v>34.720999999999997</v>
      </c>
      <c r="D47" s="41">
        <v>37.509</v>
      </c>
      <c r="E47" s="42">
        <v>22.963999999999999</v>
      </c>
      <c r="F47" s="43">
        <v>35.179000000000002</v>
      </c>
      <c r="G47" s="44">
        <v>40.243000000000002</v>
      </c>
      <c r="H47" s="45">
        <v>22.571999999999999</v>
      </c>
      <c r="I47" s="46">
        <v>34.442</v>
      </c>
      <c r="J47" s="47">
        <v>39.344999999999999</v>
      </c>
      <c r="K47" s="48">
        <v>22.173999999999999</v>
      </c>
      <c r="L47" s="49">
        <v>37.503999999999998</v>
      </c>
      <c r="M47" s="50">
        <v>43.137</v>
      </c>
      <c r="N47" s="51">
        <v>24.343</v>
      </c>
      <c r="O47" s="52">
        <v>37.880000000000003</v>
      </c>
      <c r="P47" s="53">
        <v>42.329000000000001</v>
      </c>
      <c r="Q47" s="54">
        <v>24.887</v>
      </c>
      <c r="R47" s="55">
        <v>38.991</v>
      </c>
      <c r="S47" s="56">
        <v>42.587000000000003</v>
      </c>
      <c r="T47" s="57">
        <v>26.097000000000001</v>
      </c>
      <c r="U47" s="40">
        <v>40.4</v>
      </c>
      <c r="V47" s="41">
        <v>45.134999999999998</v>
      </c>
      <c r="W47" s="42">
        <v>29.056000000000001</v>
      </c>
      <c r="X47" s="43">
        <v>39.220999999999997</v>
      </c>
      <c r="Y47" s="44">
        <v>43.777000000000001</v>
      </c>
      <c r="Z47" s="45">
        <v>27.321000000000002</v>
      </c>
      <c r="AA47" s="46">
        <v>38.548000000000002</v>
      </c>
      <c r="AB47" s="47">
        <v>44.348999999999997</v>
      </c>
      <c r="AC47" s="48">
        <v>25.318000000000001</v>
      </c>
      <c r="AD47" s="49">
        <v>36.973999999999997</v>
      </c>
      <c r="AE47" s="50">
        <v>43.143999999999998</v>
      </c>
      <c r="AF47" s="51">
        <v>25.21</v>
      </c>
      <c r="AG47" s="52">
        <v>36.130000000000003</v>
      </c>
      <c r="AH47" s="53">
        <v>41.042000000000002</v>
      </c>
      <c r="AI47" s="54">
        <v>22.771000000000001</v>
      </c>
      <c r="AJ47" s="55">
        <v>34.435000000000002</v>
      </c>
      <c r="AK47" s="56">
        <v>39.918999999999997</v>
      </c>
      <c r="AL47" s="58">
        <v>23.859000000000002</v>
      </c>
    </row>
    <row r="48" spans="2:38" ht="14.15" customHeight="1" x14ac:dyDescent="0.35">
      <c r="B48" s="59" t="s">
        <v>54</v>
      </c>
      <c r="C48" s="40">
        <v>35.472000000000001</v>
      </c>
      <c r="D48" s="41">
        <v>38.639000000000003</v>
      </c>
      <c r="E48" s="42">
        <v>23.42</v>
      </c>
      <c r="F48" s="43">
        <v>35.682000000000002</v>
      </c>
      <c r="G48" s="44">
        <v>41.256</v>
      </c>
      <c r="H48" s="45">
        <v>22.887</v>
      </c>
      <c r="I48" s="46">
        <v>34.850999999999999</v>
      </c>
      <c r="J48" s="47">
        <v>40.317999999999998</v>
      </c>
      <c r="K48" s="48">
        <v>22.594000000000001</v>
      </c>
      <c r="L48" s="49">
        <v>37.853000000000002</v>
      </c>
      <c r="M48" s="50">
        <v>43.933999999999997</v>
      </c>
      <c r="N48" s="51">
        <v>24.625</v>
      </c>
      <c r="O48" s="52">
        <v>38.506999999999998</v>
      </c>
      <c r="P48" s="53">
        <v>43.093000000000004</v>
      </c>
      <c r="Q48" s="54">
        <v>25.48</v>
      </c>
      <c r="R48" s="55">
        <v>39.682000000000002</v>
      </c>
      <c r="S48" s="56">
        <v>43.783000000000001</v>
      </c>
      <c r="T48" s="57">
        <v>26.699000000000002</v>
      </c>
      <c r="U48" s="40">
        <v>41.207999999999998</v>
      </c>
      <c r="V48" s="41">
        <v>46.326999999999998</v>
      </c>
      <c r="W48" s="42">
        <v>29.474</v>
      </c>
      <c r="X48" s="43">
        <v>39.801000000000002</v>
      </c>
      <c r="Y48" s="44">
        <v>44.838000000000001</v>
      </c>
      <c r="Z48" s="45">
        <v>27.847000000000001</v>
      </c>
      <c r="AA48" s="46">
        <v>39.06</v>
      </c>
      <c r="AB48" s="47">
        <v>45.436999999999998</v>
      </c>
      <c r="AC48" s="48">
        <v>25.861999999999998</v>
      </c>
      <c r="AD48" s="49">
        <v>37.529000000000003</v>
      </c>
      <c r="AE48" s="50">
        <v>44.264000000000003</v>
      </c>
      <c r="AF48" s="51">
        <v>25.556000000000001</v>
      </c>
      <c r="AG48" s="52">
        <v>36.622</v>
      </c>
      <c r="AH48" s="53">
        <v>42.140999999999998</v>
      </c>
      <c r="AI48" s="54">
        <v>23.178999999999998</v>
      </c>
      <c r="AJ48" s="55">
        <v>35.054000000000002</v>
      </c>
      <c r="AK48" s="56">
        <v>41.021999999999998</v>
      </c>
      <c r="AL48" s="58">
        <v>24.213999999999999</v>
      </c>
    </row>
    <row r="49" spans="2:38" ht="14.15" customHeight="1" x14ac:dyDescent="0.35">
      <c r="B49" s="59" t="s">
        <v>55</v>
      </c>
      <c r="C49" s="40">
        <v>36.637999999999998</v>
      </c>
      <c r="D49" s="41">
        <v>40.228999999999999</v>
      </c>
      <c r="E49" s="42">
        <v>24.061</v>
      </c>
      <c r="F49" s="43">
        <v>36.633000000000003</v>
      </c>
      <c r="G49" s="44">
        <v>42.744</v>
      </c>
      <c r="H49" s="45">
        <v>23.652000000000001</v>
      </c>
      <c r="I49" s="46">
        <v>35.728999999999999</v>
      </c>
      <c r="J49" s="47">
        <v>41.61</v>
      </c>
      <c r="K49" s="48">
        <v>23.187999999999999</v>
      </c>
      <c r="L49" s="49">
        <v>38.643000000000001</v>
      </c>
      <c r="M49" s="50">
        <v>45.21</v>
      </c>
      <c r="N49" s="51">
        <v>25.164000000000001</v>
      </c>
      <c r="O49" s="52">
        <v>39.353000000000002</v>
      </c>
      <c r="P49" s="53">
        <v>44.499000000000002</v>
      </c>
      <c r="Q49" s="54">
        <v>26.009</v>
      </c>
      <c r="R49" s="55">
        <v>40.674999999999997</v>
      </c>
      <c r="S49" s="56">
        <v>45.247999999999998</v>
      </c>
      <c r="T49" s="57">
        <v>27.366</v>
      </c>
      <c r="U49" s="40">
        <v>42.204999999999998</v>
      </c>
      <c r="V49" s="41">
        <v>47.786999999999999</v>
      </c>
      <c r="W49" s="42">
        <v>30.298999999999999</v>
      </c>
      <c r="X49" s="43">
        <v>40.607999999999997</v>
      </c>
      <c r="Y49" s="44">
        <v>46.249000000000002</v>
      </c>
      <c r="Z49" s="45">
        <v>28.687999999999999</v>
      </c>
      <c r="AA49" s="46">
        <v>40.048000000000002</v>
      </c>
      <c r="AB49" s="47">
        <v>46.866999999999997</v>
      </c>
      <c r="AC49" s="48">
        <v>26.488</v>
      </c>
      <c r="AD49" s="49">
        <v>38.405000000000001</v>
      </c>
      <c r="AE49" s="50">
        <v>45.670999999999999</v>
      </c>
      <c r="AF49" s="51">
        <v>26.192</v>
      </c>
      <c r="AG49" s="52">
        <v>37.417999999999999</v>
      </c>
      <c r="AH49" s="53">
        <v>43.722000000000001</v>
      </c>
      <c r="AI49" s="54">
        <v>23.850999999999999</v>
      </c>
      <c r="AJ49" s="55">
        <v>35.942999999999998</v>
      </c>
      <c r="AK49" s="56">
        <v>42.491999999999997</v>
      </c>
      <c r="AL49" s="58">
        <v>24.911000000000001</v>
      </c>
    </row>
    <row r="50" spans="2:38" ht="14.15" customHeight="1" x14ac:dyDescent="0.35">
      <c r="B50" s="59" t="s">
        <v>56</v>
      </c>
      <c r="C50" s="40">
        <v>37.601999999999997</v>
      </c>
      <c r="D50" s="41">
        <v>41.956000000000003</v>
      </c>
      <c r="E50" s="42">
        <v>24.863</v>
      </c>
      <c r="F50" s="43">
        <v>37.44</v>
      </c>
      <c r="G50" s="44">
        <v>44.122</v>
      </c>
      <c r="H50" s="45">
        <v>24.321000000000002</v>
      </c>
      <c r="I50" s="46">
        <v>36.587000000000003</v>
      </c>
      <c r="J50" s="47">
        <v>42.93</v>
      </c>
      <c r="K50" s="48">
        <v>24.036999999999999</v>
      </c>
      <c r="L50" s="49">
        <v>39.533000000000001</v>
      </c>
      <c r="M50" s="50">
        <v>46.573999999999998</v>
      </c>
      <c r="N50" s="51">
        <v>25.992000000000001</v>
      </c>
      <c r="O50" s="52">
        <v>40.307000000000002</v>
      </c>
      <c r="P50" s="53">
        <v>45.968000000000004</v>
      </c>
      <c r="Q50" s="54">
        <v>26.815999999999999</v>
      </c>
      <c r="R50" s="55">
        <v>41.405999999999999</v>
      </c>
      <c r="S50" s="56">
        <v>46.866999999999997</v>
      </c>
      <c r="T50" s="57">
        <v>28.161000000000001</v>
      </c>
      <c r="U50" s="40">
        <v>43.338000000000001</v>
      </c>
      <c r="V50" s="41">
        <v>49.404000000000003</v>
      </c>
      <c r="W50" s="42">
        <v>31.3</v>
      </c>
      <c r="X50" s="43">
        <v>41.689</v>
      </c>
      <c r="Y50" s="44">
        <v>47.764000000000003</v>
      </c>
      <c r="Z50" s="45">
        <v>29.553000000000001</v>
      </c>
      <c r="AA50" s="46">
        <v>40.976999999999997</v>
      </c>
      <c r="AB50" s="47">
        <v>48.3</v>
      </c>
      <c r="AC50" s="48">
        <v>27.317</v>
      </c>
      <c r="AD50" s="49">
        <v>39.177</v>
      </c>
      <c r="AE50" s="50">
        <v>47.021000000000001</v>
      </c>
      <c r="AF50" s="51">
        <v>27.128</v>
      </c>
      <c r="AG50" s="52">
        <v>38.442999999999998</v>
      </c>
      <c r="AH50" s="53">
        <v>45.387999999999998</v>
      </c>
      <c r="AI50" s="54">
        <v>24.704000000000001</v>
      </c>
      <c r="AJ50" s="55">
        <v>36.843000000000004</v>
      </c>
      <c r="AK50" s="56">
        <v>44.021999999999998</v>
      </c>
      <c r="AL50" s="58">
        <v>25.657</v>
      </c>
    </row>
    <row r="51" spans="2:38" ht="14.15" customHeight="1" x14ac:dyDescent="0.35">
      <c r="B51" s="59" t="s">
        <v>57</v>
      </c>
      <c r="C51" s="40">
        <v>38.463000000000001</v>
      </c>
      <c r="D51" s="41">
        <v>43.101999999999997</v>
      </c>
      <c r="E51" s="42">
        <v>25.576000000000001</v>
      </c>
      <c r="F51" s="43">
        <v>38.26</v>
      </c>
      <c r="G51" s="44">
        <v>44.96</v>
      </c>
      <c r="H51" s="45">
        <v>24.965</v>
      </c>
      <c r="I51" s="46">
        <v>37.213999999999999</v>
      </c>
      <c r="J51" s="47">
        <v>43.747999999999998</v>
      </c>
      <c r="K51" s="48">
        <v>24.681000000000001</v>
      </c>
      <c r="L51" s="49">
        <v>40.055</v>
      </c>
      <c r="M51" s="50">
        <v>47.411000000000001</v>
      </c>
      <c r="N51" s="51">
        <v>26.587</v>
      </c>
      <c r="O51" s="52">
        <v>40.98</v>
      </c>
      <c r="P51" s="53">
        <v>46.956000000000003</v>
      </c>
      <c r="Q51" s="54">
        <v>27.565999999999999</v>
      </c>
      <c r="R51" s="55">
        <v>42.061</v>
      </c>
      <c r="S51" s="56">
        <v>47.817</v>
      </c>
      <c r="T51" s="57">
        <v>28.957999999999998</v>
      </c>
      <c r="U51" s="40">
        <v>43.713000000000001</v>
      </c>
      <c r="V51" s="41">
        <v>50.398000000000003</v>
      </c>
      <c r="W51" s="42">
        <v>32.139000000000003</v>
      </c>
      <c r="X51" s="43">
        <v>42.603000000000002</v>
      </c>
      <c r="Y51" s="44">
        <v>48.604999999999997</v>
      </c>
      <c r="Z51" s="45">
        <v>30.346</v>
      </c>
      <c r="AA51" s="46">
        <v>41.585999999999999</v>
      </c>
      <c r="AB51" s="47">
        <v>49.295999999999999</v>
      </c>
      <c r="AC51" s="48">
        <v>27.95</v>
      </c>
      <c r="AD51" s="49">
        <v>39.844999999999999</v>
      </c>
      <c r="AE51" s="50">
        <v>47.92</v>
      </c>
      <c r="AF51" s="51">
        <v>27.922999999999998</v>
      </c>
      <c r="AG51" s="52">
        <v>39.127000000000002</v>
      </c>
      <c r="AH51" s="53">
        <v>46.448</v>
      </c>
      <c r="AI51" s="54">
        <v>25.41</v>
      </c>
      <c r="AJ51" s="55">
        <v>37.621000000000002</v>
      </c>
      <c r="AK51" s="56">
        <v>45.003</v>
      </c>
      <c r="AL51" s="58">
        <v>26.3</v>
      </c>
    </row>
    <row r="52" spans="2:38" ht="14.15" customHeight="1" x14ac:dyDescent="0.35">
      <c r="B52" s="59" t="s">
        <v>58</v>
      </c>
      <c r="C52" s="40">
        <v>38.883000000000003</v>
      </c>
      <c r="D52" s="41">
        <v>43.267000000000003</v>
      </c>
      <c r="E52" s="42">
        <v>25.998000000000001</v>
      </c>
      <c r="F52" s="43">
        <v>38.450000000000003</v>
      </c>
      <c r="G52" s="44">
        <v>44.796999999999997</v>
      </c>
      <c r="H52" s="45">
        <v>25.326000000000001</v>
      </c>
      <c r="I52" s="46">
        <v>37.335000000000001</v>
      </c>
      <c r="J52" s="47">
        <v>43.612000000000002</v>
      </c>
      <c r="K52" s="48">
        <v>25.052</v>
      </c>
      <c r="L52" s="49">
        <v>40.295999999999999</v>
      </c>
      <c r="M52" s="50">
        <v>47.210999999999999</v>
      </c>
      <c r="N52" s="51">
        <v>27.068999999999999</v>
      </c>
      <c r="O52" s="52">
        <v>41.212000000000003</v>
      </c>
      <c r="P52" s="53">
        <v>46.866999999999997</v>
      </c>
      <c r="Q52" s="54">
        <v>28.003</v>
      </c>
      <c r="R52" s="55">
        <v>42.323999999999998</v>
      </c>
      <c r="S52" s="56">
        <v>47.956000000000003</v>
      </c>
      <c r="T52" s="57">
        <v>29.466000000000001</v>
      </c>
      <c r="U52" s="40">
        <v>44.158000000000001</v>
      </c>
      <c r="V52" s="41">
        <v>50.633000000000003</v>
      </c>
      <c r="W52" s="42">
        <v>32.594000000000001</v>
      </c>
      <c r="X52" s="43">
        <v>42.817999999999998</v>
      </c>
      <c r="Y52" s="44">
        <v>48.49</v>
      </c>
      <c r="Z52" s="45">
        <v>30.954999999999998</v>
      </c>
      <c r="AA52" s="46">
        <v>41.734999999999999</v>
      </c>
      <c r="AB52" s="47">
        <v>49.198</v>
      </c>
      <c r="AC52" s="48">
        <v>28.356000000000002</v>
      </c>
      <c r="AD52" s="49">
        <v>39.978000000000002</v>
      </c>
      <c r="AE52" s="50">
        <v>47.835999999999999</v>
      </c>
      <c r="AF52" s="51">
        <v>28.393000000000001</v>
      </c>
      <c r="AG52" s="52">
        <v>39.417000000000002</v>
      </c>
      <c r="AH52" s="53">
        <v>46.511000000000003</v>
      </c>
      <c r="AI52" s="54">
        <v>25.888999999999999</v>
      </c>
      <c r="AJ52" s="55">
        <v>37.933999999999997</v>
      </c>
      <c r="AK52" s="56">
        <v>45.113</v>
      </c>
      <c r="AL52" s="58">
        <v>26.681999999999999</v>
      </c>
    </row>
    <row r="53" spans="2:38" ht="14.15" customHeight="1" x14ac:dyDescent="0.35">
      <c r="B53" s="59" t="s">
        <v>59</v>
      </c>
      <c r="C53" s="40">
        <v>38.393999999999998</v>
      </c>
      <c r="D53" s="41">
        <v>42.411999999999999</v>
      </c>
      <c r="E53" s="42">
        <v>26.173999999999999</v>
      </c>
      <c r="F53" s="43">
        <v>37.755000000000003</v>
      </c>
      <c r="G53" s="44">
        <v>43.398000000000003</v>
      </c>
      <c r="H53" s="45">
        <v>25.36</v>
      </c>
      <c r="I53" s="46">
        <v>36.652999999999999</v>
      </c>
      <c r="J53" s="47">
        <v>42.374000000000002</v>
      </c>
      <c r="K53" s="48">
        <v>25.13</v>
      </c>
      <c r="L53" s="49">
        <v>39.71</v>
      </c>
      <c r="M53" s="50">
        <v>45.948999999999998</v>
      </c>
      <c r="N53" s="51">
        <v>27.338999999999999</v>
      </c>
      <c r="O53" s="52">
        <v>40.911999999999999</v>
      </c>
      <c r="P53" s="53">
        <v>45.814</v>
      </c>
      <c r="Q53" s="54">
        <v>28.452999999999999</v>
      </c>
      <c r="R53" s="55">
        <v>42.149000000000001</v>
      </c>
      <c r="S53" s="56">
        <v>47.174999999999997</v>
      </c>
      <c r="T53" s="57">
        <v>30.071000000000002</v>
      </c>
      <c r="U53" s="40">
        <v>43.972999999999999</v>
      </c>
      <c r="V53" s="41">
        <v>49.780999999999999</v>
      </c>
      <c r="W53" s="42">
        <v>33.039000000000001</v>
      </c>
      <c r="X53" s="43">
        <v>42.62</v>
      </c>
      <c r="Y53" s="44">
        <v>47.631</v>
      </c>
      <c r="Z53" s="45">
        <v>31.414000000000001</v>
      </c>
      <c r="AA53" s="46">
        <v>41.235999999999997</v>
      </c>
      <c r="AB53" s="47">
        <v>48.097999999999999</v>
      </c>
      <c r="AC53" s="48">
        <v>28.811</v>
      </c>
      <c r="AD53" s="49">
        <v>39.776000000000003</v>
      </c>
      <c r="AE53" s="50">
        <v>46.747</v>
      </c>
      <c r="AF53" s="51">
        <v>28.699000000000002</v>
      </c>
      <c r="AG53" s="52">
        <v>38.923999999999999</v>
      </c>
      <c r="AH53" s="53">
        <v>45.35</v>
      </c>
      <c r="AI53" s="54">
        <v>26.137</v>
      </c>
      <c r="AJ53" s="55">
        <v>37.4</v>
      </c>
      <c r="AK53" s="56">
        <v>43.942</v>
      </c>
      <c r="AL53" s="58">
        <v>26.751000000000001</v>
      </c>
    </row>
    <row r="54" spans="2:38" ht="14.15" customHeight="1" x14ac:dyDescent="0.35">
      <c r="B54" s="59" t="s">
        <v>60</v>
      </c>
      <c r="C54" s="40">
        <v>37.981000000000002</v>
      </c>
      <c r="D54" s="41">
        <v>41.628999999999998</v>
      </c>
      <c r="E54" s="42">
        <v>26.228999999999999</v>
      </c>
      <c r="F54" s="43">
        <v>37.161999999999999</v>
      </c>
      <c r="G54" s="44">
        <v>42.366</v>
      </c>
      <c r="H54" s="45">
        <v>25.318999999999999</v>
      </c>
      <c r="I54" s="46">
        <v>36.222000000000001</v>
      </c>
      <c r="J54" s="47">
        <v>41.277000000000001</v>
      </c>
      <c r="K54" s="48">
        <v>25.125</v>
      </c>
      <c r="L54" s="49">
        <v>39.197000000000003</v>
      </c>
      <c r="M54" s="50">
        <v>44.601999999999997</v>
      </c>
      <c r="N54" s="51">
        <v>27.411000000000001</v>
      </c>
      <c r="O54" s="52">
        <v>40.439</v>
      </c>
      <c r="P54" s="53">
        <v>44.805999999999997</v>
      </c>
      <c r="Q54" s="54">
        <v>28.498000000000001</v>
      </c>
      <c r="R54" s="55">
        <v>41.530999999999999</v>
      </c>
      <c r="S54" s="56">
        <v>46.246000000000002</v>
      </c>
      <c r="T54" s="57">
        <v>30.265000000000001</v>
      </c>
      <c r="U54" s="40">
        <v>43.55</v>
      </c>
      <c r="V54" s="41">
        <v>48.664999999999999</v>
      </c>
      <c r="W54" s="42">
        <v>33.042999999999999</v>
      </c>
      <c r="X54" s="43">
        <v>42.2</v>
      </c>
      <c r="Y54" s="44">
        <v>46.737000000000002</v>
      </c>
      <c r="Z54" s="45">
        <v>31.47</v>
      </c>
      <c r="AA54" s="46">
        <v>40.829000000000001</v>
      </c>
      <c r="AB54" s="47">
        <v>46.956000000000003</v>
      </c>
      <c r="AC54" s="48">
        <v>28.8</v>
      </c>
      <c r="AD54" s="49">
        <v>39.127000000000002</v>
      </c>
      <c r="AE54" s="50">
        <v>45.554000000000002</v>
      </c>
      <c r="AF54" s="51">
        <v>28.652999999999999</v>
      </c>
      <c r="AG54" s="52">
        <v>38.484999999999999</v>
      </c>
      <c r="AH54" s="53">
        <v>44.418999999999997</v>
      </c>
      <c r="AI54" s="54">
        <v>26.286000000000001</v>
      </c>
      <c r="AJ54" s="55">
        <v>37.121000000000002</v>
      </c>
      <c r="AK54" s="56">
        <v>43.021000000000001</v>
      </c>
      <c r="AL54" s="58">
        <v>26.815999999999999</v>
      </c>
    </row>
    <row r="55" spans="2:38" ht="14.15" customHeight="1" x14ac:dyDescent="0.35">
      <c r="B55" s="59" t="s">
        <v>61</v>
      </c>
      <c r="C55" s="40">
        <v>37.548999999999999</v>
      </c>
      <c r="D55" s="41">
        <v>40.929000000000002</v>
      </c>
      <c r="E55" s="42">
        <v>26.312999999999999</v>
      </c>
      <c r="F55" s="43">
        <v>36.506</v>
      </c>
      <c r="G55" s="44">
        <v>41.088000000000001</v>
      </c>
      <c r="H55" s="45">
        <v>25.225000000000001</v>
      </c>
      <c r="I55" s="46">
        <v>35.667000000000002</v>
      </c>
      <c r="J55" s="47">
        <v>40.164000000000001</v>
      </c>
      <c r="K55" s="48">
        <v>25.119</v>
      </c>
      <c r="L55" s="49">
        <v>38.548000000000002</v>
      </c>
      <c r="M55" s="50">
        <v>43.256999999999998</v>
      </c>
      <c r="N55" s="51">
        <v>27.224</v>
      </c>
      <c r="O55" s="52">
        <v>39.773000000000003</v>
      </c>
      <c r="P55" s="53">
        <v>43.496000000000002</v>
      </c>
      <c r="Q55" s="54">
        <v>28.448</v>
      </c>
      <c r="R55" s="55">
        <v>41.003</v>
      </c>
      <c r="S55" s="56">
        <v>45.103000000000002</v>
      </c>
      <c r="T55" s="57">
        <v>30.096</v>
      </c>
      <c r="U55" s="40">
        <v>43.097999999999999</v>
      </c>
      <c r="V55" s="41">
        <v>47.688000000000002</v>
      </c>
      <c r="W55" s="42">
        <v>32.731999999999999</v>
      </c>
      <c r="X55" s="43">
        <v>41.686999999999998</v>
      </c>
      <c r="Y55" s="44">
        <v>45.363999999999997</v>
      </c>
      <c r="Z55" s="45">
        <v>31.245000000000001</v>
      </c>
      <c r="AA55" s="46">
        <v>39.981000000000002</v>
      </c>
      <c r="AB55" s="47">
        <v>45.698</v>
      </c>
      <c r="AC55" s="48">
        <v>28.649000000000001</v>
      </c>
      <c r="AD55" s="49">
        <v>38.576000000000001</v>
      </c>
      <c r="AE55" s="50">
        <v>44.347000000000001</v>
      </c>
      <c r="AF55" s="51">
        <v>28.533999999999999</v>
      </c>
      <c r="AG55" s="52">
        <v>38.113999999999997</v>
      </c>
      <c r="AH55" s="53">
        <v>43.393999999999998</v>
      </c>
      <c r="AI55" s="54">
        <v>26.388000000000002</v>
      </c>
      <c r="AJ55" s="55">
        <v>36.814999999999998</v>
      </c>
      <c r="AK55" s="56">
        <v>42.067</v>
      </c>
      <c r="AL55" s="58">
        <v>26.951000000000001</v>
      </c>
    </row>
    <row r="56" spans="2:38" ht="14.15" customHeight="1" x14ac:dyDescent="0.35">
      <c r="B56" s="59" t="s">
        <v>62</v>
      </c>
      <c r="C56" s="40">
        <v>37.194000000000003</v>
      </c>
      <c r="D56" s="41">
        <v>40.234000000000002</v>
      </c>
      <c r="E56" s="42">
        <v>26.254999999999999</v>
      </c>
      <c r="F56" s="43">
        <v>35.997999999999998</v>
      </c>
      <c r="G56" s="44">
        <v>39.927999999999997</v>
      </c>
      <c r="H56" s="45">
        <v>25.073</v>
      </c>
      <c r="I56" s="46">
        <v>35.195999999999998</v>
      </c>
      <c r="J56" s="47">
        <v>39.061999999999998</v>
      </c>
      <c r="K56" s="48">
        <v>25.177</v>
      </c>
      <c r="L56" s="49">
        <v>38.07</v>
      </c>
      <c r="M56" s="50">
        <v>41.905999999999999</v>
      </c>
      <c r="N56" s="51">
        <v>27.062000000000001</v>
      </c>
      <c r="O56" s="52">
        <v>39.238999999999997</v>
      </c>
      <c r="P56" s="53">
        <v>42.295999999999999</v>
      </c>
      <c r="Q56" s="54">
        <v>28.376000000000001</v>
      </c>
      <c r="R56" s="55">
        <v>40.408999999999999</v>
      </c>
      <c r="S56" s="56">
        <v>43.956000000000003</v>
      </c>
      <c r="T56" s="57">
        <v>29.937999999999999</v>
      </c>
      <c r="U56" s="40">
        <v>42.487000000000002</v>
      </c>
      <c r="V56" s="41">
        <v>46.387999999999998</v>
      </c>
      <c r="W56" s="42">
        <v>32.484999999999999</v>
      </c>
      <c r="X56" s="43">
        <v>41.043999999999997</v>
      </c>
      <c r="Y56" s="44">
        <v>44.308999999999997</v>
      </c>
      <c r="Z56" s="45">
        <v>30.952999999999999</v>
      </c>
      <c r="AA56" s="46">
        <v>39.207999999999998</v>
      </c>
      <c r="AB56" s="47">
        <v>44.344000000000001</v>
      </c>
      <c r="AC56" s="48">
        <v>28.367000000000001</v>
      </c>
      <c r="AD56" s="49">
        <v>38.055999999999997</v>
      </c>
      <c r="AE56" s="50">
        <v>43.267000000000003</v>
      </c>
      <c r="AF56" s="51">
        <v>28.321000000000002</v>
      </c>
      <c r="AG56" s="52">
        <v>37.561999999999998</v>
      </c>
      <c r="AH56" s="53">
        <v>42.252000000000002</v>
      </c>
      <c r="AI56" s="54">
        <v>26.384</v>
      </c>
      <c r="AJ56" s="55">
        <v>36.548000000000002</v>
      </c>
      <c r="AK56" s="56">
        <v>41.011000000000003</v>
      </c>
      <c r="AL56" s="58">
        <v>26.847000000000001</v>
      </c>
    </row>
    <row r="57" spans="2:38" ht="14.15" customHeight="1" x14ac:dyDescent="0.35">
      <c r="B57" s="59" t="s">
        <v>63</v>
      </c>
      <c r="C57" s="40">
        <v>36.759</v>
      </c>
      <c r="D57" s="41">
        <v>39.284999999999997</v>
      </c>
      <c r="E57" s="42">
        <v>26.138000000000002</v>
      </c>
      <c r="F57" s="43">
        <v>35.484000000000002</v>
      </c>
      <c r="G57" s="44">
        <v>38.624000000000002</v>
      </c>
      <c r="H57" s="45">
        <v>24.856000000000002</v>
      </c>
      <c r="I57" s="46">
        <v>34.616999999999997</v>
      </c>
      <c r="J57" s="47">
        <v>37.874000000000002</v>
      </c>
      <c r="K57" s="48">
        <v>24.933</v>
      </c>
      <c r="L57" s="49">
        <v>37.429000000000002</v>
      </c>
      <c r="M57" s="50">
        <v>40.371000000000002</v>
      </c>
      <c r="N57" s="51">
        <v>26.899000000000001</v>
      </c>
      <c r="O57" s="52">
        <v>38.466999999999999</v>
      </c>
      <c r="P57" s="53">
        <v>41.030999999999999</v>
      </c>
      <c r="Q57" s="54">
        <v>28.286999999999999</v>
      </c>
      <c r="R57" s="55">
        <v>39.753</v>
      </c>
      <c r="S57" s="56">
        <v>42.893000000000001</v>
      </c>
      <c r="T57" s="57">
        <v>29.872</v>
      </c>
      <c r="U57" s="40">
        <v>41.816000000000003</v>
      </c>
      <c r="V57" s="41">
        <v>45.128999999999998</v>
      </c>
      <c r="W57" s="42">
        <v>32.164000000000001</v>
      </c>
      <c r="X57" s="43">
        <v>40.515999999999998</v>
      </c>
      <c r="Y57" s="44">
        <v>42.951000000000001</v>
      </c>
      <c r="Z57" s="45">
        <v>30.675000000000001</v>
      </c>
      <c r="AA57" s="46">
        <v>38.667000000000002</v>
      </c>
      <c r="AB57" s="47">
        <v>43.064</v>
      </c>
      <c r="AC57" s="48">
        <v>28.169</v>
      </c>
      <c r="AD57" s="49">
        <v>37.433</v>
      </c>
      <c r="AE57" s="50">
        <v>41.942999999999998</v>
      </c>
      <c r="AF57" s="51">
        <v>28.155000000000001</v>
      </c>
      <c r="AG57" s="52">
        <v>36.976999999999997</v>
      </c>
      <c r="AH57" s="53">
        <v>40.880000000000003</v>
      </c>
      <c r="AI57" s="54">
        <v>26.236999999999998</v>
      </c>
      <c r="AJ57" s="55">
        <v>36.090000000000003</v>
      </c>
      <c r="AK57" s="56">
        <v>39.813000000000002</v>
      </c>
      <c r="AL57" s="58">
        <v>26.603000000000002</v>
      </c>
    </row>
    <row r="58" spans="2:38" ht="14.15" customHeight="1" x14ac:dyDescent="0.35">
      <c r="B58" s="59" t="s">
        <v>64</v>
      </c>
      <c r="C58" s="40">
        <v>36.298999999999999</v>
      </c>
      <c r="D58" s="41">
        <v>38.454000000000001</v>
      </c>
      <c r="E58" s="42">
        <v>26.006</v>
      </c>
      <c r="F58" s="43">
        <v>35.145000000000003</v>
      </c>
      <c r="G58" s="44">
        <v>37.744</v>
      </c>
      <c r="H58" s="45">
        <v>24.774000000000001</v>
      </c>
      <c r="I58" s="46">
        <v>34.244</v>
      </c>
      <c r="J58" s="47">
        <v>36.972000000000001</v>
      </c>
      <c r="K58" s="48">
        <v>24.891999999999999</v>
      </c>
      <c r="L58" s="49">
        <v>36.787999999999997</v>
      </c>
      <c r="M58" s="50">
        <v>39.152000000000001</v>
      </c>
      <c r="N58" s="51">
        <v>26.806000000000001</v>
      </c>
      <c r="O58" s="52">
        <v>38.119</v>
      </c>
      <c r="P58" s="53">
        <v>40.08</v>
      </c>
      <c r="Q58" s="54">
        <v>28.161000000000001</v>
      </c>
      <c r="R58" s="55">
        <v>39.246000000000002</v>
      </c>
      <c r="S58" s="56">
        <v>41.881999999999998</v>
      </c>
      <c r="T58" s="57">
        <v>29.646000000000001</v>
      </c>
      <c r="U58" s="40">
        <v>41.405999999999999</v>
      </c>
      <c r="V58" s="41">
        <v>43.965000000000003</v>
      </c>
      <c r="W58" s="42">
        <v>31.896000000000001</v>
      </c>
      <c r="X58" s="43">
        <v>39.78</v>
      </c>
      <c r="Y58" s="44">
        <v>41.8</v>
      </c>
      <c r="Z58" s="45">
        <v>30.527999999999999</v>
      </c>
      <c r="AA58" s="46">
        <v>38.04</v>
      </c>
      <c r="AB58" s="47">
        <v>41.814</v>
      </c>
      <c r="AC58" s="48">
        <v>28.087</v>
      </c>
      <c r="AD58" s="49">
        <v>36.828000000000003</v>
      </c>
      <c r="AE58" s="50">
        <v>40.951000000000001</v>
      </c>
      <c r="AF58" s="51">
        <v>27.983000000000001</v>
      </c>
      <c r="AG58" s="52">
        <v>36.622</v>
      </c>
      <c r="AH58" s="53">
        <v>39.972999999999999</v>
      </c>
      <c r="AI58" s="54">
        <v>26.298999999999999</v>
      </c>
      <c r="AJ58" s="55">
        <v>35.79</v>
      </c>
      <c r="AK58" s="56">
        <v>38.973999999999997</v>
      </c>
      <c r="AL58" s="58">
        <v>26.655999999999999</v>
      </c>
    </row>
    <row r="59" spans="2:38" ht="14.15" customHeight="1" x14ac:dyDescent="0.35">
      <c r="B59" s="59" t="s">
        <v>65</v>
      </c>
      <c r="C59" s="40">
        <v>36.094999999999999</v>
      </c>
      <c r="D59" s="41">
        <v>37.915999999999997</v>
      </c>
      <c r="E59" s="42">
        <v>26.094000000000001</v>
      </c>
      <c r="F59" s="43">
        <v>34.935000000000002</v>
      </c>
      <c r="G59" s="44">
        <v>37.058999999999997</v>
      </c>
      <c r="H59" s="45">
        <v>24.731999999999999</v>
      </c>
      <c r="I59" s="46">
        <v>33.954000000000001</v>
      </c>
      <c r="J59" s="47">
        <v>36.219000000000001</v>
      </c>
      <c r="K59" s="48">
        <v>24.876000000000001</v>
      </c>
      <c r="L59" s="49">
        <v>36.250999999999998</v>
      </c>
      <c r="M59" s="50">
        <v>38.164000000000001</v>
      </c>
      <c r="N59" s="51">
        <v>26.532</v>
      </c>
      <c r="O59" s="52">
        <v>37.384</v>
      </c>
      <c r="P59" s="53">
        <v>39.130000000000003</v>
      </c>
      <c r="Q59" s="54">
        <v>27.77</v>
      </c>
      <c r="R59" s="55">
        <v>38.823999999999998</v>
      </c>
      <c r="S59" s="56">
        <v>40.738</v>
      </c>
      <c r="T59" s="57">
        <v>29.53</v>
      </c>
      <c r="U59" s="40">
        <v>40.781999999999996</v>
      </c>
      <c r="V59" s="41">
        <v>42.863999999999997</v>
      </c>
      <c r="W59" s="42">
        <v>31.51</v>
      </c>
      <c r="X59" s="43">
        <v>39.262</v>
      </c>
      <c r="Y59" s="44">
        <v>40.896999999999998</v>
      </c>
      <c r="Z59" s="45">
        <v>30.245000000000001</v>
      </c>
      <c r="AA59" s="46">
        <v>37.481999999999999</v>
      </c>
      <c r="AB59" s="47">
        <v>40.844999999999999</v>
      </c>
      <c r="AC59" s="48">
        <v>27.849</v>
      </c>
      <c r="AD59" s="49">
        <v>36.386000000000003</v>
      </c>
      <c r="AE59" s="50">
        <v>40.101999999999997</v>
      </c>
      <c r="AF59" s="51">
        <v>27.751000000000001</v>
      </c>
      <c r="AG59" s="52">
        <v>36.262999999999998</v>
      </c>
      <c r="AH59" s="53">
        <v>39.284999999999997</v>
      </c>
      <c r="AI59" s="54">
        <v>26.33</v>
      </c>
      <c r="AJ59" s="55">
        <v>35.636000000000003</v>
      </c>
      <c r="AK59" s="56">
        <v>38.527000000000001</v>
      </c>
      <c r="AL59" s="58">
        <v>26.696999999999999</v>
      </c>
    </row>
    <row r="60" spans="2:38" ht="14.15" customHeight="1" x14ac:dyDescent="0.35">
      <c r="B60" s="59" t="s">
        <v>66</v>
      </c>
      <c r="C60" s="40">
        <v>35.686</v>
      </c>
      <c r="D60" s="41">
        <v>37.256</v>
      </c>
      <c r="E60" s="42">
        <v>25.821000000000002</v>
      </c>
      <c r="F60" s="43">
        <v>34.301000000000002</v>
      </c>
      <c r="G60" s="44">
        <v>36.247</v>
      </c>
      <c r="H60" s="45">
        <v>24.425000000000001</v>
      </c>
      <c r="I60" s="46">
        <v>33.573999999999998</v>
      </c>
      <c r="J60" s="47">
        <v>35.378999999999998</v>
      </c>
      <c r="K60" s="48">
        <v>24.555</v>
      </c>
      <c r="L60" s="49">
        <v>35.750999999999998</v>
      </c>
      <c r="M60" s="50">
        <v>37.165999999999997</v>
      </c>
      <c r="N60" s="51">
        <v>26.027000000000001</v>
      </c>
      <c r="O60" s="52">
        <v>36.997999999999998</v>
      </c>
      <c r="P60" s="53">
        <v>38.094999999999999</v>
      </c>
      <c r="Q60" s="54">
        <v>27.373000000000001</v>
      </c>
      <c r="R60" s="55">
        <v>38.375</v>
      </c>
      <c r="S60" s="56">
        <v>39.950000000000003</v>
      </c>
      <c r="T60" s="57">
        <v>29.164000000000001</v>
      </c>
      <c r="U60" s="40">
        <v>40.337000000000003</v>
      </c>
      <c r="V60" s="41">
        <v>42.045999999999999</v>
      </c>
      <c r="W60" s="42">
        <v>31.242999999999999</v>
      </c>
      <c r="X60" s="43">
        <v>39.021999999999998</v>
      </c>
      <c r="Y60" s="44">
        <v>40.125999999999998</v>
      </c>
      <c r="Z60" s="45">
        <v>29.855</v>
      </c>
      <c r="AA60" s="46">
        <v>37.113999999999997</v>
      </c>
      <c r="AB60" s="47">
        <v>39.914000000000001</v>
      </c>
      <c r="AC60" s="48">
        <v>27.561</v>
      </c>
      <c r="AD60" s="49">
        <v>35.921999999999997</v>
      </c>
      <c r="AE60" s="50">
        <v>39.22</v>
      </c>
      <c r="AF60" s="51">
        <v>27.378</v>
      </c>
      <c r="AG60" s="52">
        <v>35.911000000000001</v>
      </c>
      <c r="AH60" s="53">
        <v>38.402000000000001</v>
      </c>
      <c r="AI60" s="54">
        <v>25.975000000000001</v>
      </c>
      <c r="AJ60" s="55">
        <v>35.238</v>
      </c>
      <c r="AK60" s="56">
        <v>37.798999999999999</v>
      </c>
      <c r="AL60" s="58">
        <v>26.452000000000002</v>
      </c>
    </row>
    <row r="61" spans="2:38" ht="14.15" customHeight="1" x14ac:dyDescent="0.35">
      <c r="B61" s="59" t="s">
        <v>67</v>
      </c>
      <c r="C61" s="40">
        <v>35.325000000000003</v>
      </c>
      <c r="D61" s="41">
        <v>36.619999999999997</v>
      </c>
      <c r="E61" s="42">
        <v>25.454999999999998</v>
      </c>
      <c r="F61" s="43">
        <v>33.945</v>
      </c>
      <c r="G61" s="44">
        <v>35.543999999999997</v>
      </c>
      <c r="H61" s="45">
        <v>23.98</v>
      </c>
      <c r="I61" s="46">
        <v>33.223999999999997</v>
      </c>
      <c r="J61" s="47">
        <v>34.441000000000003</v>
      </c>
      <c r="K61" s="48">
        <v>24.238</v>
      </c>
      <c r="L61" s="49">
        <v>35.262999999999998</v>
      </c>
      <c r="M61" s="50">
        <v>36.228000000000002</v>
      </c>
      <c r="N61" s="51">
        <v>25.677</v>
      </c>
      <c r="O61" s="52">
        <v>36.526000000000003</v>
      </c>
      <c r="P61" s="53">
        <v>37.302</v>
      </c>
      <c r="Q61" s="54">
        <v>27.097999999999999</v>
      </c>
      <c r="R61" s="55">
        <v>38.177999999999997</v>
      </c>
      <c r="S61" s="56">
        <v>39.143000000000001</v>
      </c>
      <c r="T61" s="57">
        <v>28.937999999999999</v>
      </c>
      <c r="U61" s="40">
        <v>40.188000000000002</v>
      </c>
      <c r="V61" s="41">
        <v>41.393000000000001</v>
      </c>
      <c r="W61" s="42">
        <v>30.922999999999998</v>
      </c>
      <c r="X61" s="43">
        <v>38.893000000000001</v>
      </c>
      <c r="Y61" s="44">
        <v>39.246000000000002</v>
      </c>
      <c r="Z61" s="45">
        <v>29.620999999999999</v>
      </c>
      <c r="AA61" s="46">
        <v>36.671999999999997</v>
      </c>
      <c r="AB61" s="47">
        <v>39.259</v>
      </c>
      <c r="AC61" s="48">
        <v>27.199000000000002</v>
      </c>
      <c r="AD61" s="49">
        <v>35.511000000000003</v>
      </c>
      <c r="AE61" s="50">
        <v>38.406999999999996</v>
      </c>
      <c r="AF61" s="51">
        <v>27.114000000000001</v>
      </c>
      <c r="AG61" s="52">
        <v>35.46</v>
      </c>
      <c r="AH61" s="53">
        <v>37.700000000000003</v>
      </c>
      <c r="AI61" s="54">
        <v>25.698</v>
      </c>
      <c r="AJ61" s="55">
        <v>35.101999999999997</v>
      </c>
      <c r="AK61" s="56">
        <v>37.125</v>
      </c>
      <c r="AL61" s="58">
        <v>26.184999999999999</v>
      </c>
    </row>
    <row r="62" spans="2:38" ht="14.15" customHeight="1" x14ac:dyDescent="0.35">
      <c r="B62" s="59" t="s">
        <v>68</v>
      </c>
      <c r="C62" s="40">
        <v>35.331000000000003</v>
      </c>
      <c r="D62" s="41">
        <v>36.247999999999998</v>
      </c>
      <c r="E62" s="42">
        <v>25.443000000000001</v>
      </c>
      <c r="F62" s="43">
        <v>33.713999999999999</v>
      </c>
      <c r="G62" s="44">
        <v>35.033000000000001</v>
      </c>
      <c r="H62" s="45">
        <v>23.891999999999999</v>
      </c>
      <c r="I62" s="46">
        <v>33.130000000000003</v>
      </c>
      <c r="J62" s="47">
        <v>33.976999999999997</v>
      </c>
      <c r="K62" s="48">
        <v>24.163</v>
      </c>
      <c r="L62" s="49">
        <v>35.08</v>
      </c>
      <c r="M62" s="50">
        <v>35.506999999999998</v>
      </c>
      <c r="N62" s="51">
        <v>25.488</v>
      </c>
      <c r="O62" s="52">
        <v>36.386000000000003</v>
      </c>
      <c r="P62" s="53">
        <v>36.762999999999998</v>
      </c>
      <c r="Q62" s="54">
        <v>26.888999999999999</v>
      </c>
      <c r="R62" s="55">
        <v>38.085000000000001</v>
      </c>
      <c r="S62" s="56">
        <v>38.722000000000001</v>
      </c>
      <c r="T62" s="57">
        <v>28.706</v>
      </c>
      <c r="U62" s="40">
        <v>40.082999999999998</v>
      </c>
      <c r="V62" s="41">
        <v>40.648000000000003</v>
      </c>
      <c r="W62" s="42">
        <v>30.803999999999998</v>
      </c>
      <c r="X62" s="43">
        <v>38.426000000000002</v>
      </c>
      <c r="Y62" s="44">
        <v>38.695999999999998</v>
      </c>
      <c r="Z62" s="45">
        <v>29.387</v>
      </c>
      <c r="AA62" s="46">
        <v>36.420999999999999</v>
      </c>
      <c r="AB62" s="47">
        <v>38.72</v>
      </c>
      <c r="AC62" s="48">
        <v>27.004999999999999</v>
      </c>
      <c r="AD62" s="49">
        <v>35.228000000000002</v>
      </c>
      <c r="AE62" s="50">
        <v>37.892000000000003</v>
      </c>
      <c r="AF62" s="51">
        <v>26.940999999999999</v>
      </c>
      <c r="AG62" s="52">
        <v>35.518000000000001</v>
      </c>
      <c r="AH62" s="53">
        <v>37.171999999999997</v>
      </c>
      <c r="AI62" s="54">
        <v>25.65</v>
      </c>
      <c r="AJ62" s="55">
        <v>35.100999999999999</v>
      </c>
      <c r="AK62" s="56">
        <v>36.837000000000003</v>
      </c>
      <c r="AL62" s="58">
        <v>26.207000000000001</v>
      </c>
    </row>
    <row r="63" spans="2:38" ht="14.15" customHeight="1" x14ac:dyDescent="0.35">
      <c r="B63" s="59" t="s">
        <v>69</v>
      </c>
      <c r="C63" s="40">
        <v>35.305</v>
      </c>
      <c r="D63" s="41">
        <v>35.975000000000001</v>
      </c>
      <c r="E63" s="42">
        <v>25.311</v>
      </c>
      <c r="F63" s="43">
        <v>33.627000000000002</v>
      </c>
      <c r="G63" s="44">
        <v>34.698999999999998</v>
      </c>
      <c r="H63" s="45">
        <v>23.777000000000001</v>
      </c>
      <c r="I63" s="46">
        <v>32.966000000000001</v>
      </c>
      <c r="J63" s="47">
        <v>33.65</v>
      </c>
      <c r="K63" s="48">
        <v>24.132000000000001</v>
      </c>
      <c r="L63" s="49">
        <v>34.906999999999996</v>
      </c>
      <c r="M63" s="50">
        <v>34.988</v>
      </c>
      <c r="N63" s="51">
        <v>25.213999999999999</v>
      </c>
      <c r="O63" s="52">
        <v>36.576999999999998</v>
      </c>
      <c r="P63" s="53">
        <v>36.180999999999997</v>
      </c>
      <c r="Q63" s="54">
        <v>26.677</v>
      </c>
      <c r="R63" s="55">
        <v>37.933</v>
      </c>
      <c r="S63" s="56">
        <v>38.226999999999997</v>
      </c>
      <c r="T63" s="57">
        <v>28.503</v>
      </c>
      <c r="U63" s="40">
        <v>39.850999999999999</v>
      </c>
      <c r="V63" s="41">
        <v>40.277000000000001</v>
      </c>
      <c r="W63" s="42">
        <v>30.463999999999999</v>
      </c>
      <c r="X63" s="43">
        <v>38.209000000000003</v>
      </c>
      <c r="Y63" s="44">
        <v>38.414999999999999</v>
      </c>
      <c r="Z63" s="45">
        <v>29.07</v>
      </c>
      <c r="AA63" s="46">
        <v>36.273000000000003</v>
      </c>
      <c r="AB63" s="47">
        <v>38.109000000000002</v>
      </c>
      <c r="AC63" s="48">
        <v>26.776</v>
      </c>
      <c r="AD63" s="49">
        <v>35.109000000000002</v>
      </c>
      <c r="AE63" s="50">
        <v>37.381999999999998</v>
      </c>
      <c r="AF63" s="51">
        <v>26.818999999999999</v>
      </c>
      <c r="AG63" s="52">
        <v>35.527999999999999</v>
      </c>
      <c r="AH63" s="53">
        <v>36.819000000000003</v>
      </c>
      <c r="AI63" s="54">
        <v>25.635000000000002</v>
      </c>
      <c r="AJ63" s="55">
        <v>35.165999999999997</v>
      </c>
      <c r="AK63" s="56">
        <v>36.594000000000001</v>
      </c>
      <c r="AL63" s="58">
        <v>26.210999999999999</v>
      </c>
    </row>
    <row r="64" spans="2:38" ht="14.15" customHeight="1" x14ac:dyDescent="0.35">
      <c r="B64" s="59" t="s">
        <v>70</v>
      </c>
      <c r="C64" s="40">
        <v>35.131999999999998</v>
      </c>
      <c r="D64" s="41">
        <v>35.741999999999997</v>
      </c>
      <c r="E64" s="42">
        <v>25.408000000000001</v>
      </c>
      <c r="F64" s="43">
        <v>33.552999999999997</v>
      </c>
      <c r="G64" s="44">
        <v>34.295000000000002</v>
      </c>
      <c r="H64" s="45">
        <v>23.885999999999999</v>
      </c>
      <c r="I64" s="46">
        <v>32.856999999999999</v>
      </c>
      <c r="J64" s="47">
        <v>33.113999999999997</v>
      </c>
      <c r="K64" s="48">
        <v>24.167000000000002</v>
      </c>
      <c r="L64" s="49">
        <v>34.695</v>
      </c>
      <c r="M64" s="50">
        <v>34.319000000000003</v>
      </c>
      <c r="N64" s="51">
        <v>25.257000000000001</v>
      </c>
      <c r="O64" s="52">
        <v>36.304000000000002</v>
      </c>
      <c r="P64" s="53">
        <v>35.798000000000002</v>
      </c>
      <c r="Q64" s="54">
        <v>26.792000000000002</v>
      </c>
      <c r="R64" s="55">
        <v>37.817</v>
      </c>
      <c r="S64" s="56">
        <v>37.802</v>
      </c>
      <c r="T64" s="57">
        <v>28.71</v>
      </c>
      <c r="U64" s="40">
        <v>39.655000000000001</v>
      </c>
      <c r="V64" s="41">
        <v>39.850999999999999</v>
      </c>
      <c r="W64" s="42">
        <v>30.491</v>
      </c>
      <c r="X64" s="43">
        <v>37.939</v>
      </c>
      <c r="Y64" s="44">
        <v>37.731000000000002</v>
      </c>
      <c r="Z64" s="45">
        <v>29.221</v>
      </c>
      <c r="AA64" s="46">
        <v>36.095999999999997</v>
      </c>
      <c r="AB64" s="47">
        <v>37.637999999999998</v>
      </c>
      <c r="AC64" s="48">
        <v>26.8</v>
      </c>
      <c r="AD64" s="49">
        <v>35.024999999999999</v>
      </c>
      <c r="AE64" s="50">
        <v>37.000999999999998</v>
      </c>
      <c r="AF64" s="51">
        <v>26.873999999999999</v>
      </c>
      <c r="AG64" s="52">
        <v>35.537999999999997</v>
      </c>
      <c r="AH64" s="53">
        <v>36.661000000000001</v>
      </c>
      <c r="AI64" s="54">
        <v>25.895</v>
      </c>
      <c r="AJ64" s="55">
        <v>35.156999999999996</v>
      </c>
      <c r="AK64" s="56">
        <v>36.28</v>
      </c>
      <c r="AL64" s="58">
        <v>26.498000000000001</v>
      </c>
    </row>
    <row r="65" spans="2:38" ht="14.15" customHeight="1" x14ac:dyDescent="0.35">
      <c r="B65" s="59" t="s">
        <v>71</v>
      </c>
      <c r="C65" s="40">
        <v>35.158000000000001</v>
      </c>
      <c r="D65" s="41">
        <v>35.661000000000001</v>
      </c>
      <c r="E65" s="42">
        <v>25.858000000000001</v>
      </c>
      <c r="F65" s="43">
        <v>33.570999999999998</v>
      </c>
      <c r="G65" s="44">
        <v>34.063000000000002</v>
      </c>
      <c r="H65" s="45">
        <v>24.257999999999999</v>
      </c>
      <c r="I65" s="46">
        <v>32.689</v>
      </c>
      <c r="J65" s="47">
        <v>32.844000000000001</v>
      </c>
      <c r="K65" s="48">
        <v>24.623999999999999</v>
      </c>
      <c r="L65" s="49">
        <v>34.591999999999999</v>
      </c>
      <c r="M65" s="50">
        <v>33.898000000000003</v>
      </c>
      <c r="N65" s="51">
        <v>25.585999999999999</v>
      </c>
      <c r="O65" s="52">
        <v>36.185000000000002</v>
      </c>
      <c r="P65" s="53">
        <v>35.212000000000003</v>
      </c>
      <c r="Q65" s="54">
        <v>27.071000000000002</v>
      </c>
      <c r="R65" s="55">
        <v>37.457000000000001</v>
      </c>
      <c r="S65" s="56">
        <v>37.597999999999999</v>
      </c>
      <c r="T65" s="57">
        <v>28.887</v>
      </c>
      <c r="U65" s="40">
        <v>39.618000000000002</v>
      </c>
      <c r="V65" s="41">
        <v>39.610999999999997</v>
      </c>
      <c r="W65" s="42">
        <v>30.661999999999999</v>
      </c>
      <c r="X65" s="43">
        <v>37.780999999999999</v>
      </c>
      <c r="Y65" s="44">
        <v>37.363999999999997</v>
      </c>
      <c r="Z65" s="45">
        <v>29.452999999999999</v>
      </c>
      <c r="AA65" s="46">
        <v>35.972999999999999</v>
      </c>
      <c r="AB65" s="47">
        <v>37.241999999999997</v>
      </c>
      <c r="AC65" s="48">
        <v>27.173999999999999</v>
      </c>
      <c r="AD65" s="49">
        <v>34.966000000000001</v>
      </c>
      <c r="AE65" s="50">
        <v>36.686999999999998</v>
      </c>
      <c r="AF65" s="51">
        <v>27.225000000000001</v>
      </c>
      <c r="AG65" s="52">
        <v>35.597000000000001</v>
      </c>
      <c r="AH65" s="53">
        <v>36.75</v>
      </c>
      <c r="AI65" s="54">
        <v>26.542000000000002</v>
      </c>
      <c r="AJ65" s="55">
        <v>35.396999999999998</v>
      </c>
      <c r="AK65" s="56">
        <v>36.28</v>
      </c>
      <c r="AL65" s="58">
        <v>27.04</v>
      </c>
    </row>
    <row r="66" spans="2:38" ht="14.15" customHeight="1" x14ac:dyDescent="0.35">
      <c r="B66" s="59" t="s">
        <v>72</v>
      </c>
      <c r="C66" s="40">
        <v>35.179000000000002</v>
      </c>
      <c r="D66" s="41">
        <v>35.534999999999997</v>
      </c>
      <c r="E66" s="42">
        <v>25.975000000000001</v>
      </c>
      <c r="F66" s="43">
        <v>33.668999999999997</v>
      </c>
      <c r="G66" s="44">
        <v>33.784999999999997</v>
      </c>
      <c r="H66" s="45">
        <v>24.312000000000001</v>
      </c>
      <c r="I66" s="46">
        <v>32.741999999999997</v>
      </c>
      <c r="J66" s="47">
        <v>32.542999999999999</v>
      </c>
      <c r="K66" s="48">
        <v>24.568999999999999</v>
      </c>
      <c r="L66" s="49">
        <v>34.350999999999999</v>
      </c>
      <c r="M66" s="50">
        <v>33.488</v>
      </c>
      <c r="N66" s="51">
        <v>25.600999999999999</v>
      </c>
      <c r="O66" s="52">
        <v>35.988999999999997</v>
      </c>
      <c r="P66" s="53">
        <v>34.838999999999999</v>
      </c>
      <c r="Q66" s="54">
        <v>27.068999999999999</v>
      </c>
      <c r="R66" s="55">
        <v>37.287999999999997</v>
      </c>
      <c r="S66" s="56">
        <v>37.180999999999997</v>
      </c>
      <c r="T66" s="57">
        <v>28.917000000000002</v>
      </c>
      <c r="U66" s="40">
        <v>39.454999999999998</v>
      </c>
      <c r="V66" s="41">
        <v>39.207999999999998</v>
      </c>
      <c r="W66" s="42">
        <v>30.702999999999999</v>
      </c>
      <c r="X66" s="43">
        <v>37.551000000000002</v>
      </c>
      <c r="Y66" s="44">
        <v>36.951999999999998</v>
      </c>
      <c r="Z66" s="45">
        <v>29.481000000000002</v>
      </c>
      <c r="AA66" s="46">
        <v>35.831000000000003</v>
      </c>
      <c r="AB66" s="47">
        <v>36.802999999999997</v>
      </c>
      <c r="AC66" s="48">
        <v>27.31</v>
      </c>
      <c r="AD66" s="49">
        <v>34.787999999999997</v>
      </c>
      <c r="AE66" s="50">
        <v>36.334000000000003</v>
      </c>
      <c r="AF66" s="51">
        <v>27.257000000000001</v>
      </c>
      <c r="AG66" s="52">
        <v>35.765000000000001</v>
      </c>
      <c r="AH66" s="53">
        <v>36.609000000000002</v>
      </c>
      <c r="AI66" s="54">
        <v>26.725000000000001</v>
      </c>
      <c r="AJ66" s="55">
        <v>35.414000000000001</v>
      </c>
      <c r="AK66" s="56">
        <v>36.182000000000002</v>
      </c>
      <c r="AL66" s="58">
        <v>27.334</v>
      </c>
    </row>
    <row r="67" spans="2:38" ht="14.15" customHeight="1" x14ac:dyDescent="0.35">
      <c r="B67" s="59" t="s">
        <v>73</v>
      </c>
      <c r="C67" s="40">
        <v>35.203000000000003</v>
      </c>
      <c r="D67" s="41">
        <v>35.442999999999998</v>
      </c>
      <c r="E67" s="42">
        <v>26.285</v>
      </c>
      <c r="F67" s="43">
        <v>33.588000000000001</v>
      </c>
      <c r="G67" s="44">
        <v>33.546999999999997</v>
      </c>
      <c r="H67" s="45">
        <v>24.492999999999999</v>
      </c>
      <c r="I67" s="46">
        <v>32.581000000000003</v>
      </c>
      <c r="J67" s="47">
        <v>32.29</v>
      </c>
      <c r="K67" s="48">
        <v>24.756</v>
      </c>
      <c r="L67" s="49">
        <v>34.015999999999998</v>
      </c>
      <c r="M67" s="50">
        <v>32.997999999999998</v>
      </c>
      <c r="N67" s="51">
        <v>25.739000000000001</v>
      </c>
      <c r="O67" s="52">
        <v>35.439</v>
      </c>
      <c r="P67" s="53">
        <v>34.567</v>
      </c>
      <c r="Q67" s="54">
        <v>27.196999999999999</v>
      </c>
      <c r="R67" s="55">
        <v>37.155999999999999</v>
      </c>
      <c r="S67" s="56">
        <v>36.706000000000003</v>
      </c>
      <c r="T67" s="57">
        <v>29.161000000000001</v>
      </c>
      <c r="U67" s="40">
        <v>39.459000000000003</v>
      </c>
      <c r="V67" s="41">
        <v>38.909999999999997</v>
      </c>
      <c r="W67" s="42">
        <v>30.827999999999999</v>
      </c>
      <c r="X67" s="43">
        <v>37.527000000000001</v>
      </c>
      <c r="Y67" s="44">
        <v>36.761000000000003</v>
      </c>
      <c r="Z67" s="45">
        <v>29.600999999999999</v>
      </c>
      <c r="AA67" s="46">
        <v>35.521000000000001</v>
      </c>
      <c r="AB67" s="47">
        <v>36.457999999999998</v>
      </c>
      <c r="AC67" s="48">
        <v>27.53</v>
      </c>
      <c r="AD67" s="49">
        <v>34.64</v>
      </c>
      <c r="AE67" s="50">
        <v>36.1</v>
      </c>
      <c r="AF67" s="51">
        <v>27.353000000000002</v>
      </c>
      <c r="AG67" s="52">
        <v>35.914000000000001</v>
      </c>
      <c r="AH67" s="53">
        <v>36.536000000000001</v>
      </c>
      <c r="AI67" s="54">
        <v>27.082999999999998</v>
      </c>
      <c r="AJ67" s="55">
        <v>35.668999999999997</v>
      </c>
      <c r="AK67" s="56">
        <v>36.201000000000001</v>
      </c>
      <c r="AL67" s="58">
        <v>27.888000000000002</v>
      </c>
    </row>
    <row r="68" spans="2:38" ht="14.15" customHeight="1" x14ac:dyDescent="0.35">
      <c r="B68" s="59" t="s">
        <v>74</v>
      </c>
      <c r="C68" s="40">
        <v>35.450000000000003</v>
      </c>
      <c r="D68" s="41">
        <v>35.51</v>
      </c>
      <c r="E68" s="42">
        <v>26.864999999999998</v>
      </c>
      <c r="F68" s="43">
        <v>33.534999999999997</v>
      </c>
      <c r="G68" s="44">
        <v>33.457000000000001</v>
      </c>
      <c r="H68" s="45">
        <v>24.876000000000001</v>
      </c>
      <c r="I68" s="46">
        <v>32.454000000000001</v>
      </c>
      <c r="J68" s="47">
        <v>32.070999999999998</v>
      </c>
      <c r="K68" s="48">
        <v>25.067</v>
      </c>
      <c r="L68" s="49">
        <v>33.831000000000003</v>
      </c>
      <c r="M68" s="50">
        <v>32.655999999999999</v>
      </c>
      <c r="N68" s="51">
        <v>26.056999999999999</v>
      </c>
      <c r="O68" s="52">
        <v>35.212000000000003</v>
      </c>
      <c r="P68" s="53">
        <v>34.225000000000001</v>
      </c>
      <c r="Q68" s="54">
        <v>27.484000000000002</v>
      </c>
      <c r="R68" s="55">
        <v>36.984999999999999</v>
      </c>
      <c r="S68" s="56">
        <v>36.564999999999998</v>
      </c>
      <c r="T68" s="57">
        <v>29.524999999999999</v>
      </c>
      <c r="U68" s="40">
        <v>39.307000000000002</v>
      </c>
      <c r="V68" s="41">
        <v>38.570999999999998</v>
      </c>
      <c r="W68" s="42">
        <v>31.138999999999999</v>
      </c>
      <c r="X68" s="43">
        <v>37.35</v>
      </c>
      <c r="Y68" s="44">
        <v>36.442</v>
      </c>
      <c r="Z68" s="45">
        <v>30.035</v>
      </c>
      <c r="AA68" s="46">
        <v>35.369999999999997</v>
      </c>
      <c r="AB68" s="47">
        <v>36.313000000000002</v>
      </c>
      <c r="AC68" s="48">
        <v>27.962</v>
      </c>
      <c r="AD68" s="49">
        <v>34.499000000000002</v>
      </c>
      <c r="AE68" s="50">
        <v>35.930999999999997</v>
      </c>
      <c r="AF68" s="51">
        <v>27.690999999999999</v>
      </c>
      <c r="AG68" s="52">
        <v>36.271000000000001</v>
      </c>
      <c r="AH68" s="53">
        <v>36.774000000000001</v>
      </c>
      <c r="AI68" s="54">
        <v>27.808</v>
      </c>
      <c r="AJ68" s="55">
        <v>36.018999999999998</v>
      </c>
      <c r="AK68" s="56">
        <v>36.332999999999998</v>
      </c>
      <c r="AL68" s="58">
        <v>28.669</v>
      </c>
    </row>
    <row r="69" spans="2:38" ht="14.15" customHeight="1" x14ac:dyDescent="0.35">
      <c r="B69" s="59" t="s">
        <v>75</v>
      </c>
      <c r="C69" s="40">
        <v>36.116</v>
      </c>
      <c r="D69" s="41">
        <v>35.970999999999997</v>
      </c>
      <c r="E69" s="42">
        <v>28.065000000000001</v>
      </c>
      <c r="F69" s="43">
        <v>33.829000000000001</v>
      </c>
      <c r="G69" s="44">
        <v>33.588999999999999</v>
      </c>
      <c r="H69" s="45">
        <v>25.8</v>
      </c>
      <c r="I69" s="46">
        <v>32.692999999999998</v>
      </c>
      <c r="J69" s="47">
        <v>32.033999999999999</v>
      </c>
      <c r="K69" s="48">
        <v>25.896999999999998</v>
      </c>
      <c r="L69" s="49">
        <v>33.909999999999997</v>
      </c>
      <c r="M69" s="50">
        <v>32.517000000000003</v>
      </c>
      <c r="N69" s="51">
        <v>26.757999999999999</v>
      </c>
      <c r="O69" s="52">
        <v>35.469000000000001</v>
      </c>
      <c r="P69" s="53">
        <v>34.122999999999998</v>
      </c>
      <c r="Q69" s="54">
        <v>28.19</v>
      </c>
      <c r="R69" s="55">
        <v>37.094999999999999</v>
      </c>
      <c r="S69" s="56">
        <v>36.548999999999999</v>
      </c>
      <c r="T69" s="57">
        <v>30.138999999999999</v>
      </c>
      <c r="U69" s="40">
        <v>39.207000000000001</v>
      </c>
      <c r="V69" s="41">
        <v>38.25</v>
      </c>
      <c r="W69" s="42">
        <v>31.864000000000001</v>
      </c>
      <c r="X69" s="43">
        <v>37.433</v>
      </c>
      <c r="Y69" s="44">
        <v>36.238999999999997</v>
      </c>
      <c r="Z69" s="45">
        <v>30.777000000000001</v>
      </c>
      <c r="AA69" s="46">
        <v>35.326999999999998</v>
      </c>
      <c r="AB69" s="47">
        <v>36.223999999999997</v>
      </c>
      <c r="AC69" s="48">
        <v>28.742999999999999</v>
      </c>
      <c r="AD69" s="49">
        <v>34.652000000000001</v>
      </c>
      <c r="AE69" s="50">
        <v>36.097000000000001</v>
      </c>
      <c r="AF69" s="51">
        <v>28.561</v>
      </c>
      <c r="AG69" s="52">
        <v>37.076000000000001</v>
      </c>
      <c r="AH69" s="53">
        <v>37.389000000000003</v>
      </c>
      <c r="AI69" s="54">
        <v>29.314</v>
      </c>
      <c r="AJ69" s="55">
        <v>37.021000000000001</v>
      </c>
      <c r="AK69" s="56">
        <v>37.018999999999998</v>
      </c>
      <c r="AL69" s="58">
        <v>30.347000000000001</v>
      </c>
    </row>
    <row r="70" spans="2:38" ht="14.15" customHeight="1" x14ac:dyDescent="0.35">
      <c r="B70" s="59" t="s">
        <v>76</v>
      </c>
      <c r="C70" s="40">
        <v>36.902000000000001</v>
      </c>
      <c r="D70" s="41">
        <v>36.600999999999999</v>
      </c>
      <c r="E70" s="42">
        <v>29.198</v>
      </c>
      <c r="F70" s="43">
        <v>34.277999999999999</v>
      </c>
      <c r="G70" s="44">
        <v>33.93</v>
      </c>
      <c r="H70" s="45">
        <v>26.565000000000001</v>
      </c>
      <c r="I70" s="46">
        <v>32.978999999999999</v>
      </c>
      <c r="J70" s="47">
        <v>32.209000000000003</v>
      </c>
      <c r="K70" s="48">
        <v>26.402999999999999</v>
      </c>
      <c r="L70" s="49">
        <v>34.103999999999999</v>
      </c>
      <c r="M70" s="50">
        <v>32.533999999999999</v>
      </c>
      <c r="N70" s="51">
        <v>27.3</v>
      </c>
      <c r="O70" s="52">
        <v>35.755000000000003</v>
      </c>
      <c r="P70" s="53">
        <v>34.289000000000001</v>
      </c>
      <c r="Q70" s="54">
        <v>28.8</v>
      </c>
      <c r="R70" s="55">
        <v>37.064</v>
      </c>
      <c r="S70" s="56">
        <v>36.773000000000003</v>
      </c>
      <c r="T70" s="57">
        <v>30.738</v>
      </c>
      <c r="U70" s="40">
        <v>39.295999999999999</v>
      </c>
      <c r="V70" s="41">
        <v>38.32</v>
      </c>
      <c r="W70" s="42">
        <v>32.476999999999997</v>
      </c>
      <c r="X70" s="43">
        <v>37.661999999999999</v>
      </c>
      <c r="Y70" s="44">
        <v>36.409999999999997</v>
      </c>
      <c r="Z70" s="45">
        <v>31.376000000000001</v>
      </c>
      <c r="AA70" s="46">
        <v>35.634</v>
      </c>
      <c r="AB70" s="47">
        <v>36.378</v>
      </c>
      <c r="AC70" s="48">
        <v>29.393000000000001</v>
      </c>
      <c r="AD70" s="49">
        <v>35.034999999999997</v>
      </c>
      <c r="AE70" s="50">
        <v>36.485999999999997</v>
      </c>
      <c r="AF70" s="51">
        <v>29.204999999999998</v>
      </c>
      <c r="AG70" s="52">
        <v>38.183</v>
      </c>
      <c r="AH70" s="53">
        <v>38.304000000000002</v>
      </c>
      <c r="AI70" s="54">
        <v>30.643000000000001</v>
      </c>
      <c r="AJ70" s="55">
        <v>38.158000000000001</v>
      </c>
      <c r="AK70" s="56">
        <v>37.908999999999999</v>
      </c>
      <c r="AL70" s="58">
        <v>31.919</v>
      </c>
    </row>
    <row r="71" spans="2:38" ht="14.15" customHeight="1" x14ac:dyDescent="0.35">
      <c r="B71" s="59" t="s">
        <v>77</v>
      </c>
      <c r="C71" s="40">
        <v>37.761000000000003</v>
      </c>
      <c r="D71" s="41">
        <v>37.744</v>
      </c>
      <c r="E71" s="42">
        <v>30.509</v>
      </c>
      <c r="F71" s="43">
        <v>34.786000000000001</v>
      </c>
      <c r="G71" s="44">
        <v>34.604999999999997</v>
      </c>
      <c r="H71" s="45">
        <v>27.47</v>
      </c>
      <c r="I71" s="46">
        <v>33.301000000000002</v>
      </c>
      <c r="J71" s="47">
        <v>32.734999999999999</v>
      </c>
      <c r="K71" s="48">
        <v>27.081</v>
      </c>
      <c r="L71" s="49">
        <v>34.42</v>
      </c>
      <c r="M71" s="50">
        <v>33.095999999999997</v>
      </c>
      <c r="N71" s="51">
        <v>28.039000000000001</v>
      </c>
      <c r="O71" s="52">
        <v>36.103999999999999</v>
      </c>
      <c r="P71" s="53">
        <v>34.854999999999997</v>
      </c>
      <c r="Q71" s="54">
        <v>29.454000000000001</v>
      </c>
      <c r="R71" s="55">
        <v>37.456000000000003</v>
      </c>
      <c r="S71" s="56">
        <v>37.357999999999997</v>
      </c>
      <c r="T71" s="57">
        <v>31.405000000000001</v>
      </c>
      <c r="U71" s="40">
        <v>39.417999999999999</v>
      </c>
      <c r="V71" s="41">
        <v>38.792999999999999</v>
      </c>
      <c r="W71" s="42">
        <v>33.25</v>
      </c>
      <c r="X71" s="43">
        <v>37.752000000000002</v>
      </c>
      <c r="Y71" s="44">
        <v>37.012999999999998</v>
      </c>
      <c r="Z71" s="45">
        <v>32.06</v>
      </c>
      <c r="AA71" s="46">
        <v>35.951000000000001</v>
      </c>
      <c r="AB71" s="47">
        <v>36.905999999999999</v>
      </c>
      <c r="AC71" s="48">
        <v>30.077999999999999</v>
      </c>
      <c r="AD71" s="49">
        <v>35.585000000000001</v>
      </c>
      <c r="AE71" s="50">
        <v>37.158000000000001</v>
      </c>
      <c r="AF71" s="51">
        <v>30.055</v>
      </c>
      <c r="AG71" s="52">
        <v>39.625999999999998</v>
      </c>
      <c r="AH71" s="53">
        <v>39.947000000000003</v>
      </c>
      <c r="AI71" s="54">
        <v>32.588000000000001</v>
      </c>
      <c r="AJ71" s="55">
        <v>39.405999999999999</v>
      </c>
      <c r="AK71" s="56">
        <v>39.043999999999997</v>
      </c>
      <c r="AL71" s="58">
        <v>33.722000000000001</v>
      </c>
    </row>
    <row r="72" spans="2:38" ht="14.15" customHeight="1" x14ac:dyDescent="0.35">
      <c r="B72" s="59" t="s">
        <v>78</v>
      </c>
      <c r="C72" s="40">
        <v>38.927</v>
      </c>
      <c r="D72" s="41">
        <v>39.18</v>
      </c>
      <c r="E72" s="42">
        <v>32.155999999999999</v>
      </c>
      <c r="F72" s="43">
        <v>35.536999999999999</v>
      </c>
      <c r="G72" s="44">
        <v>35.582999999999998</v>
      </c>
      <c r="H72" s="45">
        <v>28.652000000000001</v>
      </c>
      <c r="I72" s="46">
        <v>33.648000000000003</v>
      </c>
      <c r="J72" s="47">
        <v>33.354999999999997</v>
      </c>
      <c r="K72" s="48">
        <v>27.962</v>
      </c>
      <c r="L72" s="49">
        <v>34.728000000000002</v>
      </c>
      <c r="M72" s="50">
        <v>33.601999999999997</v>
      </c>
      <c r="N72" s="51">
        <v>28.914999999999999</v>
      </c>
      <c r="O72" s="52">
        <v>36.259</v>
      </c>
      <c r="P72" s="53">
        <v>35.412999999999997</v>
      </c>
      <c r="Q72" s="54">
        <v>30.512</v>
      </c>
      <c r="R72" s="55">
        <v>37.973999999999997</v>
      </c>
      <c r="S72" s="56">
        <v>38.064999999999998</v>
      </c>
      <c r="T72" s="57">
        <v>32.463000000000001</v>
      </c>
      <c r="U72" s="40">
        <v>39.908999999999999</v>
      </c>
      <c r="V72" s="41">
        <v>39.552</v>
      </c>
      <c r="W72" s="42">
        <v>34.262</v>
      </c>
      <c r="X72" s="43">
        <v>38.118000000000002</v>
      </c>
      <c r="Y72" s="44">
        <v>37.679000000000002</v>
      </c>
      <c r="Z72" s="45">
        <v>32.936999999999998</v>
      </c>
      <c r="AA72" s="46">
        <v>36.415999999999997</v>
      </c>
      <c r="AB72" s="47">
        <v>37.706000000000003</v>
      </c>
      <c r="AC72" s="48">
        <v>31.126999999999999</v>
      </c>
      <c r="AD72" s="49">
        <v>35.984000000000002</v>
      </c>
      <c r="AE72" s="50">
        <v>38.164000000000001</v>
      </c>
      <c r="AF72" s="51">
        <v>31.257000000000001</v>
      </c>
      <c r="AG72" s="52">
        <v>41.319000000000003</v>
      </c>
      <c r="AH72" s="53">
        <v>41.92</v>
      </c>
      <c r="AI72" s="54">
        <v>34.764000000000003</v>
      </c>
      <c r="AJ72" s="55">
        <v>40.744</v>
      </c>
      <c r="AK72" s="56">
        <v>40.393999999999998</v>
      </c>
      <c r="AL72" s="58">
        <v>35.576999999999998</v>
      </c>
    </row>
    <row r="73" spans="2:38" ht="14.15" customHeight="1" x14ac:dyDescent="0.35">
      <c r="B73" s="59" t="s">
        <v>79</v>
      </c>
      <c r="C73" s="40">
        <v>40.646000000000001</v>
      </c>
      <c r="D73" s="41">
        <v>41.048999999999999</v>
      </c>
      <c r="E73" s="42">
        <v>34.768999999999998</v>
      </c>
      <c r="F73" s="43">
        <v>36.862000000000002</v>
      </c>
      <c r="G73" s="44">
        <v>36.984000000000002</v>
      </c>
      <c r="H73" s="45">
        <v>30.62</v>
      </c>
      <c r="I73" s="46">
        <v>34.49</v>
      </c>
      <c r="J73" s="47">
        <v>34.328000000000003</v>
      </c>
      <c r="K73" s="48">
        <v>29.427</v>
      </c>
      <c r="L73" s="49">
        <v>35.372</v>
      </c>
      <c r="M73" s="50">
        <v>34.478999999999999</v>
      </c>
      <c r="N73" s="51">
        <v>30.324999999999999</v>
      </c>
      <c r="O73" s="52">
        <v>36.975999999999999</v>
      </c>
      <c r="P73" s="53">
        <v>36.317</v>
      </c>
      <c r="Q73" s="54">
        <v>31.911000000000001</v>
      </c>
      <c r="R73" s="55">
        <v>38.31</v>
      </c>
      <c r="S73" s="56">
        <v>38.64</v>
      </c>
      <c r="T73" s="57">
        <v>33.719000000000001</v>
      </c>
      <c r="U73" s="40">
        <v>40.496000000000002</v>
      </c>
      <c r="V73" s="41">
        <v>40.408999999999999</v>
      </c>
      <c r="W73" s="42">
        <v>35.506</v>
      </c>
      <c r="X73" s="43">
        <v>38.497</v>
      </c>
      <c r="Y73" s="44">
        <v>38.563000000000002</v>
      </c>
      <c r="Z73" s="45">
        <v>34.281999999999996</v>
      </c>
      <c r="AA73" s="46">
        <v>37.021000000000001</v>
      </c>
      <c r="AB73" s="47">
        <v>38.69</v>
      </c>
      <c r="AC73" s="48">
        <v>32.613999999999997</v>
      </c>
      <c r="AD73" s="49">
        <v>36.883000000000003</v>
      </c>
      <c r="AE73" s="50">
        <v>39.584000000000003</v>
      </c>
      <c r="AF73" s="51">
        <v>33.073999999999998</v>
      </c>
      <c r="AG73" s="52">
        <v>43.621000000000002</v>
      </c>
      <c r="AH73" s="53">
        <v>44.402000000000001</v>
      </c>
      <c r="AI73" s="54">
        <v>37.698</v>
      </c>
      <c r="AJ73" s="55">
        <v>41.883000000000003</v>
      </c>
      <c r="AK73" s="56">
        <v>41.755000000000003</v>
      </c>
      <c r="AL73" s="58">
        <v>37.795000000000002</v>
      </c>
    </row>
    <row r="74" spans="2:38" ht="14.15" customHeight="1" x14ac:dyDescent="0.35">
      <c r="B74" s="59" t="s">
        <v>80</v>
      </c>
      <c r="C74" s="40">
        <v>42.11</v>
      </c>
      <c r="D74" s="41">
        <v>42.744999999999997</v>
      </c>
      <c r="E74" s="42">
        <v>36.779000000000003</v>
      </c>
      <c r="F74" s="43">
        <v>38.271999999999998</v>
      </c>
      <c r="G74" s="44">
        <v>38.764000000000003</v>
      </c>
      <c r="H74" s="45">
        <v>32.488</v>
      </c>
      <c r="I74" s="46">
        <v>35.337000000000003</v>
      </c>
      <c r="J74" s="47">
        <v>35.487000000000002</v>
      </c>
      <c r="K74" s="48">
        <v>30.791</v>
      </c>
      <c r="L74" s="49">
        <v>36.026000000000003</v>
      </c>
      <c r="M74" s="50">
        <v>35.548999999999999</v>
      </c>
      <c r="N74" s="51">
        <v>31.541</v>
      </c>
      <c r="O74" s="52">
        <v>37.697000000000003</v>
      </c>
      <c r="P74" s="53">
        <v>37.295999999999999</v>
      </c>
      <c r="Q74" s="54">
        <v>33.222000000000001</v>
      </c>
      <c r="R74" s="55">
        <v>39.110999999999997</v>
      </c>
      <c r="S74" s="56">
        <v>39.636000000000003</v>
      </c>
      <c r="T74" s="57">
        <v>34.994999999999997</v>
      </c>
      <c r="U74" s="40">
        <v>40.950000000000003</v>
      </c>
      <c r="V74" s="41">
        <v>41.235999999999997</v>
      </c>
      <c r="W74" s="42">
        <v>36.877000000000002</v>
      </c>
      <c r="X74" s="43">
        <v>39.194000000000003</v>
      </c>
      <c r="Y74" s="44">
        <v>39.637</v>
      </c>
      <c r="Z74" s="45">
        <v>35.567999999999998</v>
      </c>
      <c r="AA74" s="46">
        <v>37.881</v>
      </c>
      <c r="AB74" s="47">
        <v>39.957000000000001</v>
      </c>
      <c r="AC74" s="48">
        <v>34.005000000000003</v>
      </c>
      <c r="AD74" s="49">
        <v>37.9</v>
      </c>
      <c r="AE74" s="50">
        <v>41.188000000000002</v>
      </c>
      <c r="AF74" s="51">
        <v>34.783999999999999</v>
      </c>
      <c r="AG74" s="52">
        <v>45.246000000000002</v>
      </c>
      <c r="AH74" s="53">
        <v>46.293999999999997</v>
      </c>
      <c r="AI74" s="54">
        <v>39.713999999999999</v>
      </c>
      <c r="AJ74" s="55">
        <v>42.720999999999997</v>
      </c>
      <c r="AK74" s="56">
        <v>42.552999999999997</v>
      </c>
      <c r="AL74" s="58">
        <v>39.067999999999998</v>
      </c>
    </row>
    <row r="75" spans="2:38" ht="14.15" customHeight="1" x14ac:dyDescent="0.35">
      <c r="B75" s="59" t="s">
        <v>81</v>
      </c>
      <c r="C75" s="40">
        <v>43.119</v>
      </c>
      <c r="D75" s="41">
        <v>43.823999999999998</v>
      </c>
      <c r="E75" s="42">
        <v>38.381999999999998</v>
      </c>
      <c r="F75" s="43">
        <v>39.982999999999997</v>
      </c>
      <c r="G75" s="44">
        <v>40.530999999999999</v>
      </c>
      <c r="H75" s="45">
        <v>34.476999999999997</v>
      </c>
      <c r="I75" s="46">
        <v>36.436</v>
      </c>
      <c r="J75" s="47">
        <v>36.734999999999999</v>
      </c>
      <c r="K75" s="48">
        <v>32.159999999999997</v>
      </c>
      <c r="L75" s="49">
        <v>37.112000000000002</v>
      </c>
      <c r="M75" s="50">
        <v>36.732999999999997</v>
      </c>
      <c r="N75" s="51">
        <v>32.965000000000003</v>
      </c>
      <c r="O75" s="52">
        <v>38.662999999999997</v>
      </c>
      <c r="P75" s="53">
        <v>38.637999999999998</v>
      </c>
      <c r="Q75" s="54">
        <v>34.65</v>
      </c>
      <c r="R75" s="55">
        <v>39.813000000000002</v>
      </c>
      <c r="S75" s="56">
        <v>40.54</v>
      </c>
      <c r="T75" s="57">
        <v>36.264000000000003</v>
      </c>
      <c r="U75" s="40">
        <v>41.555</v>
      </c>
      <c r="V75" s="41">
        <v>42.151000000000003</v>
      </c>
      <c r="W75" s="42">
        <v>38.027999999999999</v>
      </c>
      <c r="X75" s="43">
        <v>40.033999999999999</v>
      </c>
      <c r="Y75" s="44">
        <v>40.625</v>
      </c>
      <c r="Z75" s="45">
        <v>36.86</v>
      </c>
      <c r="AA75" s="46">
        <v>38.817</v>
      </c>
      <c r="AB75" s="47">
        <v>41.253999999999998</v>
      </c>
      <c r="AC75" s="48">
        <v>35.445</v>
      </c>
      <c r="AD75" s="49">
        <v>39.284999999999997</v>
      </c>
      <c r="AE75" s="50">
        <v>42.813000000000002</v>
      </c>
      <c r="AF75" s="51">
        <v>36.575000000000003</v>
      </c>
      <c r="AG75" s="52">
        <v>46.298000000000002</v>
      </c>
      <c r="AH75" s="53">
        <v>47.31</v>
      </c>
      <c r="AI75" s="54">
        <v>41.051000000000002</v>
      </c>
      <c r="AJ75" s="55">
        <v>43.201999999999998</v>
      </c>
      <c r="AK75" s="56">
        <v>43.057000000000002</v>
      </c>
      <c r="AL75" s="58">
        <v>39.869</v>
      </c>
    </row>
    <row r="76" spans="2:38" ht="14.15" customHeight="1" x14ac:dyDescent="0.35">
      <c r="B76" s="59" t="s">
        <v>82</v>
      </c>
      <c r="C76" s="40">
        <v>43.954999999999998</v>
      </c>
      <c r="D76" s="41">
        <v>44.771999999999998</v>
      </c>
      <c r="E76" s="42">
        <v>39.899000000000001</v>
      </c>
      <c r="F76" s="43">
        <v>41.944000000000003</v>
      </c>
      <c r="G76" s="44">
        <v>42.578000000000003</v>
      </c>
      <c r="H76" s="45">
        <v>37.045000000000002</v>
      </c>
      <c r="I76" s="46">
        <v>37.735999999999997</v>
      </c>
      <c r="J76" s="47">
        <v>38.067999999999998</v>
      </c>
      <c r="K76" s="48">
        <v>33.94</v>
      </c>
      <c r="L76" s="49">
        <v>37.851999999999997</v>
      </c>
      <c r="M76" s="50">
        <v>37.979999999999997</v>
      </c>
      <c r="N76" s="51">
        <v>34.51</v>
      </c>
      <c r="O76" s="52">
        <v>39.481000000000002</v>
      </c>
      <c r="P76" s="53">
        <v>39.801000000000002</v>
      </c>
      <c r="Q76" s="54">
        <v>36.173999999999999</v>
      </c>
      <c r="R76" s="55">
        <v>40.588999999999999</v>
      </c>
      <c r="S76" s="56">
        <v>41.930999999999997</v>
      </c>
      <c r="T76" s="57">
        <v>37.76</v>
      </c>
      <c r="U76" s="40">
        <v>42.268000000000001</v>
      </c>
      <c r="V76" s="41">
        <v>43.131</v>
      </c>
      <c r="W76" s="42">
        <v>39.264000000000003</v>
      </c>
      <c r="X76" s="43">
        <v>40.615000000000002</v>
      </c>
      <c r="Y76" s="44">
        <v>41.603999999999999</v>
      </c>
      <c r="Z76" s="45">
        <v>38.25</v>
      </c>
      <c r="AA76" s="46">
        <v>39.741999999999997</v>
      </c>
      <c r="AB76" s="47">
        <v>42.604999999999997</v>
      </c>
      <c r="AC76" s="48">
        <v>36.960999999999999</v>
      </c>
      <c r="AD76" s="49">
        <v>40.725999999999999</v>
      </c>
      <c r="AE76" s="50">
        <v>44.213999999999999</v>
      </c>
      <c r="AF76" s="51">
        <v>38.465000000000003</v>
      </c>
      <c r="AG76" s="52">
        <v>46.843000000000004</v>
      </c>
      <c r="AH76" s="53">
        <v>48.110999999999997</v>
      </c>
      <c r="AI76" s="54">
        <v>42.35</v>
      </c>
      <c r="AJ76" s="55">
        <v>43.512999999999998</v>
      </c>
      <c r="AK76" s="56">
        <v>43.646000000000001</v>
      </c>
      <c r="AL76" s="58">
        <v>40.881999999999998</v>
      </c>
    </row>
    <row r="77" spans="2:38" ht="14.15" customHeight="1" x14ac:dyDescent="0.35">
      <c r="B77" s="59" t="s">
        <v>83</v>
      </c>
      <c r="C77" s="40">
        <v>44.418999999999997</v>
      </c>
      <c r="D77" s="41">
        <v>45.424999999999997</v>
      </c>
      <c r="E77" s="42">
        <v>40.96</v>
      </c>
      <c r="F77" s="43">
        <v>43.378999999999998</v>
      </c>
      <c r="G77" s="44">
        <v>44.502000000000002</v>
      </c>
      <c r="H77" s="45">
        <v>39.35</v>
      </c>
      <c r="I77" s="46">
        <v>38.933999999999997</v>
      </c>
      <c r="J77" s="47">
        <v>39.49</v>
      </c>
      <c r="K77" s="48">
        <v>35.863</v>
      </c>
      <c r="L77" s="49">
        <v>38.716999999999999</v>
      </c>
      <c r="M77" s="50">
        <v>39.014000000000003</v>
      </c>
      <c r="N77" s="51">
        <v>35.941000000000003</v>
      </c>
      <c r="O77" s="52">
        <v>40.079000000000001</v>
      </c>
      <c r="P77" s="53">
        <v>40.682000000000002</v>
      </c>
      <c r="Q77" s="54">
        <v>37.558999999999997</v>
      </c>
      <c r="R77" s="55">
        <v>41.158000000000001</v>
      </c>
      <c r="S77" s="56">
        <v>42.795999999999999</v>
      </c>
      <c r="T77" s="57">
        <v>39.058</v>
      </c>
      <c r="U77" s="40">
        <v>42.820999999999998</v>
      </c>
      <c r="V77" s="41">
        <v>44.058999999999997</v>
      </c>
      <c r="W77" s="42">
        <v>40.521999999999998</v>
      </c>
      <c r="X77" s="43">
        <v>41.084000000000003</v>
      </c>
      <c r="Y77" s="44">
        <v>42.561999999999998</v>
      </c>
      <c r="Z77" s="45">
        <v>39.435000000000002</v>
      </c>
      <c r="AA77" s="46">
        <v>40.658000000000001</v>
      </c>
      <c r="AB77" s="47">
        <v>43.777000000000001</v>
      </c>
      <c r="AC77" s="48">
        <v>38.494</v>
      </c>
      <c r="AD77" s="49">
        <v>42.295000000000002</v>
      </c>
      <c r="AE77" s="50">
        <v>45.435000000000002</v>
      </c>
      <c r="AF77" s="51">
        <v>40.485999999999997</v>
      </c>
      <c r="AG77" s="52">
        <v>46.914000000000001</v>
      </c>
      <c r="AH77" s="53">
        <v>48.423999999999999</v>
      </c>
      <c r="AI77" s="54">
        <v>43.392000000000003</v>
      </c>
      <c r="AJ77" s="55">
        <v>43.591000000000001</v>
      </c>
      <c r="AK77" s="56">
        <v>43.776000000000003</v>
      </c>
      <c r="AL77" s="58">
        <v>41.695</v>
      </c>
    </row>
    <row r="78" spans="2:38" ht="14.15" customHeight="1" x14ac:dyDescent="0.35">
      <c r="B78" s="59" t="s">
        <v>84</v>
      </c>
      <c r="C78" s="40">
        <v>44.442999999999998</v>
      </c>
      <c r="D78" s="41">
        <v>45.408000000000001</v>
      </c>
      <c r="E78" s="42">
        <v>41.542000000000002</v>
      </c>
      <c r="F78" s="43">
        <v>44.369</v>
      </c>
      <c r="G78" s="44">
        <v>45.56</v>
      </c>
      <c r="H78" s="45">
        <v>41.043999999999997</v>
      </c>
      <c r="I78" s="46">
        <v>40.253999999999998</v>
      </c>
      <c r="J78" s="47">
        <v>40.758000000000003</v>
      </c>
      <c r="K78" s="48">
        <v>37.680999999999997</v>
      </c>
      <c r="L78" s="49">
        <v>39.395000000000003</v>
      </c>
      <c r="M78" s="50">
        <v>39.698</v>
      </c>
      <c r="N78" s="51">
        <v>37.18</v>
      </c>
      <c r="O78" s="52">
        <v>40.732999999999997</v>
      </c>
      <c r="P78" s="53">
        <v>41.460999999999999</v>
      </c>
      <c r="Q78" s="54">
        <v>38.811999999999998</v>
      </c>
      <c r="R78" s="55">
        <v>41.73</v>
      </c>
      <c r="S78" s="56">
        <v>43.341999999999999</v>
      </c>
      <c r="T78" s="57">
        <v>40.210999999999999</v>
      </c>
      <c r="U78" s="40">
        <v>43.329000000000001</v>
      </c>
      <c r="V78" s="41">
        <v>44.448999999999998</v>
      </c>
      <c r="W78" s="42">
        <v>41.536000000000001</v>
      </c>
      <c r="X78" s="43">
        <v>41.686</v>
      </c>
      <c r="Y78" s="44">
        <v>43.247</v>
      </c>
      <c r="Z78" s="45">
        <v>40.511000000000003</v>
      </c>
      <c r="AA78" s="46">
        <v>41.488999999999997</v>
      </c>
      <c r="AB78" s="47">
        <v>44.573</v>
      </c>
      <c r="AC78" s="48">
        <v>39.683</v>
      </c>
      <c r="AD78" s="49">
        <v>44.003999999999998</v>
      </c>
      <c r="AE78" s="50">
        <v>46.460999999999999</v>
      </c>
      <c r="AF78" s="51">
        <v>42.228999999999999</v>
      </c>
      <c r="AG78" s="52">
        <v>46.826000000000001</v>
      </c>
      <c r="AH78" s="53">
        <v>48.250999999999998</v>
      </c>
      <c r="AI78" s="54">
        <v>43.951999999999998</v>
      </c>
      <c r="AJ78" s="55">
        <v>43.360999999999997</v>
      </c>
      <c r="AK78" s="56">
        <v>43.777999999999999</v>
      </c>
      <c r="AL78" s="58">
        <v>42.180999999999997</v>
      </c>
    </row>
    <row r="79" spans="2:38" ht="14.15" customHeight="1" x14ac:dyDescent="0.35">
      <c r="B79" s="59" t="s">
        <v>85</v>
      </c>
      <c r="C79" s="40">
        <v>44.085000000000001</v>
      </c>
      <c r="D79" s="41">
        <v>44.996000000000002</v>
      </c>
      <c r="E79" s="42">
        <v>41.917999999999999</v>
      </c>
      <c r="F79" s="43">
        <v>44.427</v>
      </c>
      <c r="G79" s="44">
        <v>45.792999999999999</v>
      </c>
      <c r="H79" s="45">
        <v>42.029000000000003</v>
      </c>
      <c r="I79" s="46">
        <v>41.204000000000001</v>
      </c>
      <c r="J79" s="47">
        <v>41.71</v>
      </c>
      <c r="K79" s="48">
        <v>39.363</v>
      </c>
      <c r="L79" s="49">
        <v>39.728999999999999</v>
      </c>
      <c r="M79" s="50">
        <v>40.249000000000002</v>
      </c>
      <c r="N79" s="51">
        <v>38.262999999999998</v>
      </c>
      <c r="O79" s="52">
        <v>41.136000000000003</v>
      </c>
      <c r="P79" s="53">
        <v>41.857999999999997</v>
      </c>
      <c r="Q79" s="54">
        <v>39.718000000000004</v>
      </c>
      <c r="R79" s="55">
        <v>41.92</v>
      </c>
      <c r="S79" s="56">
        <v>43.551000000000002</v>
      </c>
      <c r="T79" s="57">
        <v>41.2</v>
      </c>
      <c r="U79" s="40">
        <v>43.551000000000002</v>
      </c>
      <c r="V79" s="41">
        <v>44.587000000000003</v>
      </c>
      <c r="W79" s="42">
        <v>42.49</v>
      </c>
      <c r="X79" s="43">
        <v>41.823999999999998</v>
      </c>
      <c r="Y79" s="44">
        <v>43.610999999999997</v>
      </c>
      <c r="Z79" s="45">
        <v>41.439</v>
      </c>
      <c r="AA79" s="46">
        <v>42.131</v>
      </c>
      <c r="AB79" s="47">
        <v>45.079000000000001</v>
      </c>
      <c r="AC79" s="48">
        <v>40.841999999999999</v>
      </c>
      <c r="AD79" s="49">
        <v>45.375999999999998</v>
      </c>
      <c r="AE79" s="50">
        <v>47.279000000000003</v>
      </c>
      <c r="AF79" s="51">
        <v>44.094000000000001</v>
      </c>
      <c r="AG79" s="52">
        <v>46.207999999999998</v>
      </c>
      <c r="AH79" s="53">
        <v>47.616999999999997</v>
      </c>
      <c r="AI79" s="54">
        <v>44.231999999999999</v>
      </c>
      <c r="AJ79" s="55">
        <v>42.863999999999997</v>
      </c>
      <c r="AK79" s="56">
        <v>43.484999999999999</v>
      </c>
      <c r="AL79" s="58">
        <v>42.432000000000002</v>
      </c>
    </row>
    <row r="80" spans="2:38" ht="14.15" customHeight="1" x14ac:dyDescent="0.35">
      <c r="B80" s="59" t="s">
        <v>86</v>
      </c>
      <c r="C80" s="40">
        <v>43.524000000000001</v>
      </c>
      <c r="D80" s="41">
        <v>44.515999999999998</v>
      </c>
      <c r="E80" s="42">
        <v>42.12</v>
      </c>
      <c r="F80" s="43">
        <v>43.993000000000002</v>
      </c>
      <c r="G80" s="44">
        <v>45.703000000000003</v>
      </c>
      <c r="H80" s="45">
        <v>42.585999999999999</v>
      </c>
      <c r="I80" s="46">
        <v>41.89</v>
      </c>
      <c r="J80" s="47">
        <v>42.457999999999998</v>
      </c>
      <c r="K80" s="48">
        <v>40.786000000000001</v>
      </c>
      <c r="L80" s="49">
        <v>39.97</v>
      </c>
      <c r="M80" s="50">
        <v>40.624000000000002</v>
      </c>
      <c r="N80" s="51">
        <v>39.194000000000003</v>
      </c>
      <c r="O80" s="52">
        <v>41.192999999999998</v>
      </c>
      <c r="P80" s="53">
        <v>42.197000000000003</v>
      </c>
      <c r="Q80" s="54">
        <v>40.573999999999998</v>
      </c>
      <c r="R80" s="55">
        <v>41.92</v>
      </c>
      <c r="S80" s="56">
        <v>43.808999999999997</v>
      </c>
      <c r="T80" s="57">
        <v>41.886000000000003</v>
      </c>
      <c r="U80" s="40">
        <v>43.427999999999997</v>
      </c>
      <c r="V80" s="41">
        <v>44.951999999999998</v>
      </c>
      <c r="W80" s="42">
        <v>43.195999999999998</v>
      </c>
      <c r="X80" s="43">
        <v>41.887</v>
      </c>
      <c r="Y80" s="44">
        <v>43.948</v>
      </c>
      <c r="Z80" s="45">
        <v>42.122</v>
      </c>
      <c r="AA80" s="46">
        <v>42.598999999999997</v>
      </c>
      <c r="AB80" s="47">
        <v>45.768999999999998</v>
      </c>
      <c r="AC80" s="48">
        <v>41.82</v>
      </c>
      <c r="AD80" s="49">
        <v>46.384</v>
      </c>
      <c r="AE80" s="50">
        <v>48.252000000000002</v>
      </c>
      <c r="AF80" s="51">
        <v>45.853999999999999</v>
      </c>
      <c r="AG80" s="52">
        <v>45.418999999999997</v>
      </c>
      <c r="AH80" s="53">
        <v>47.045000000000002</v>
      </c>
      <c r="AI80" s="54">
        <v>44.406999999999996</v>
      </c>
      <c r="AJ80" s="55">
        <v>42.2</v>
      </c>
      <c r="AK80" s="56">
        <v>43.113999999999997</v>
      </c>
      <c r="AL80" s="58">
        <v>42.662999999999997</v>
      </c>
    </row>
    <row r="81" spans="2:38" ht="14.15" customHeight="1" x14ac:dyDescent="0.35">
      <c r="B81" s="59" t="s">
        <v>87</v>
      </c>
      <c r="C81" s="40">
        <v>42.927999999999997</v>
      </c>
      <c r="D81" s="41">
        <v>43.908000000000001</v>
      </c>
      <c r="E81" s="42">
        <v>41.957000000000001</v>
      </c>
      <c r="F81" s="43">
        <v>43.491999999999997</v>
      </c>
      <c r="G81" s="44">
        <v>44.973999999999997</v>
      </c>
      <c r="H81" s="45">
        <v>42.552999999999997</v>
      </c>
      <c r="I81" s="46">
        <v>42.238999999999997</v>
      </c>
      <c r="J81" s="47">
        <v>42.521000000000001</v>
      </c>
      <c r="K81" s="48">
        <v>41.566000000000003</v>
      </c>
      <c r="L81" s="49">
        <v>39.942999999999998</v>
      </c>
      <c r="M81" s="50">
        <v>40.777000000000001</v>
      </c>
      <c r="N81" s="51">
        <v>39.713999999999999</v>
      </c>
      <c r="O81" s="52">
        <v>41.076999999999998</v>
      </c>
      <c r="P81" s="53">
        <v>42.247999999999998</v>
      </c>
      <c r="Q81" s="54">
        <v>40.929000000000002</v>
      </c>
      <c r="R81" s="55">
        <v>41.819000000000003</v>
      </c>
      <c r="S81" s="56">
        <v>44.106000000000002</v>
      </c>
      <c r="T81" s="57">
        <v>42.155999999999999</v>
      </c>
      <c r="U81" s="40">
        <v>43.088000000000001</v>
      </c>
      <c r="V81" s="41">
        <v>45.040999999999997</v>
      </c>
      <c r="W81" s="42">
        <v>43.345999999999997</v>
      </c>
      <c r="X81" s="43">
        <v>41.631</v>
      </c>
      <c r="Y81" s="44">
        <v>43.828000000000003</v>
      </c>
      <c r="Z81" s="45">
        <v>42.277999999999999</v>
      </c>
      <c r="AA81" s="46">
        <v>42.991999999999997</v>
      </c>
      <c r="AB81" s="47">
        <v>46.024999999999999</v>
      </c>
      <c r="AC81" s="48">
        <v>42.530999999999999</v>
      </c>
      <c r="AD81" s="49">
        <v>46.814999999999998</v>
      </c>
      <c r="AE81" s="50">
        <v>48.703000000000003</v>
      </c>
      <c r="AF81" s="51">
        <v>46.774000000000001</v>
      </c>
      <c r="AG81" s="52">
        <v>44.634</v>
      </c>
      <c r="AH81" s="53">
        <v>46.177999999999997</v>
      </c>
      <c r="AI81" s="54">
        <v>44.176000000000002</v>
      </c>
      <c r="AJ81" s="55">
        <v>41.484000000000002</v>
      </c>
      <c r="AK81" s="56">
        <v>42.548999999999999</v>
      </c>
      <c r="AL81" s="58">
        <v>42.523000000000003</v>
      </c>
    </row>
    <row r="82" spans="2:38" ht="14.15" customHeight="1" x14ac:dyDescent="0.35">
      <c r="B82" s="59" t="s">
        <v>88</v>
      </c>
      <c r="C82" s="40">
        <v>42.06</v>
      </c>
      <c r="D82" s="41">
        <v>43.029000000000003</v>
      </c>
      <c r="E82" s="42">
        <v>41.542999999999999</v>
      </c>
      <c r="F82" s="43">
        <v>42.616</v>
      </c>
      <c r="G82" s="44">
        <v>44.085999999999999</v>
      </c>
      <c r="H82" s="45">
        <v>42.234000000000002</v>
      </c>
      <c r="I82" s="46">
        <v>42.027999999999999</v>
      </c>
      <c r="J82" s="47">
        <v>42.234000000000002</v>
      </c>
      <c r="K82" s="48">
        <v>41.692</v>
      </c>
      <c r="L82" s="49">
        <v>39.939</v>
      </c>
      <c r="M82" s="50">
        <v>40.944000000000003</v>
      </c>
      <c r="N82" s="51">
        <v>40.226999999999997</v>
      </c>
      <c r="O82" s="52">
        <v>40.939</v>
      </c>
      <c r="P82" s="53">
        <v>42.042999999999999</v>
      </c>
      <c r="Q82" s="54">
        <v>41.146999999999998</v>
      </c>
      <c r="R82" s="55">
        <v>41.444000000000003</v>
      </c>
      <c r="S82" s="56">
        <v>43.970999999999997</v>
      </c>
      <c r="T82" s="57">
        <v>42.284999999999997</v>
      </c>
      <c r="U82" s="40">
        <v>42.789000000000001</v>
      </c>
      <c r="V82" s="41">
        <v>44.627000000000002</v>
      </c>
      <c r="W82" s="42">
        <v>43.451000000000001</v>
      </c>
      <c r="X82" s="43">
        <v>41.545999999999999</v>
      </c>
      <c r="Y82" s="44">
        <v>43.606999999999999</v>
      </c>
      <c r="Z82" s="45">
        <v>42.402000000000001</v>
      </c>
      <c r="AA82" s="46">
        <v>43.747</v>
      </c>
      <c r="AB82" s="47">
        <v>46.442</v>
      </c>
      <c r="AC82" s="48">
        <v>43.515999999999998</v>
      </c>
      <c r="AD82" s="49">
        <v>46.576999999999998</v>
      </c>
      <c r="AE82" s="50">
        <v>48.546999999999997</v>
      </c>
      <c r="AF82" s="51">
        <v>46.945999999999998</v>
      </c>
      <c r="AG82" s="52">
        <v>43.866</v>
      </c>
      <c r="AH82" s="53">
        <v>45.258000000000003</v>
      </c>
      <c r="AI82" s="54">
        <v>43.72</v>
      </c>
      <c r="AJ82" s="55">
        <v>40.593000000000004</v>
      </c>
      <c r="AK82" s="56">
        <v>41.881</v>
      </c>
      <c r="AL82" s="58">
        <v>42.133000000000003</v>
      </c>
    </row>
    <row r="83" spans="2:38" ht="14.15" customHeight="1" x14ac:dyDescent="0.35">
      <c r="B83" s="59" t="s">
        <v>89</v>
      </c>
      <c r="C83" s="40">
        <v>41.173000000000002</v>
      </c>
      <c r="D83" s="41">
        <v>42.103999999999999</v>
      </c>
      <c r="E83" s="42">
        <v>41.006999999999998</v>
      </c>
      <c r="F83" s="43">
        <v>41.704999999999998</v>
      </c>
      <c r="G83" s="44">
        <v>43.093000000000004</v>
      </c>
      <c r="H83" s="45">
        <v>41.656999999999996</v>
      </c>
      <c r="I83" s="46">
        <v>41.44</v>
      </c>
      <c r="J83" s="47">
        <v>41.773000000000003</v>
      </c>
      <c r="K83" s="48">
        <v>41.384</v>
      </c>
      <c r="L83" s="49">
        <v>39.965000000000003</v>
      </c>
      <c r="M83" s="50">
        <v>40.890999999999998</v>
      </c>
      <c r="N83" s="51">
        <v>40.573999999999998</v>
      </c>
      <c r="O83" s="52">
        <v>40.823999999999998</v>
      </c>
      <c r="P83" s="53">
        <v>41.832999999999998</v>
      </c>
      <c r="Q83" s="54">
        <v>41.323999999999998</v>
      </c>
      <c r="R83" s="55">
        <v>41.2</v>
      </c>
      <c r="S83" s="56">
        <v>43.673000000000002</v>
      </c>
      <c r="T83" s="57">
        <v>42.311</v>
      </c>
      <c r="U83" s="40">
        <v>42.459000000000003</v>
      </c>
      <c r="V83" s="41">
        <v>44.29</v>
      </c>
      <c r="W83" s="42">
        <v>43.438000000000002</v>
      </c>
      <c r="X83" s="43">
        <v>41.264000000000003</v>
      </c>
      <c r="Y83" s="44">
        <v>43.463999999999999</v>
      </c>
      <c r="Z83" s="45">
        <v>42.515999999999998</v>
      </c>
      <c r="AA83" s="46">
        <v>44.454000000000001</v>
      </c>
      <c r="AB83" s="47">
        <v>46.936999999999998</v>
      </c>
      <c r="AC83" s="48">
        <v>44.460999999999999</v>
      </c>
      <c r="AD83" s="49">
        <v>45.968000000000004</v>
      </c>
      <c r="AE83" s="50">
        <v>47.753999999999998</v>
      </c>
      <c r="AF83" s="51">
        <v>46.496000000000002</v>
      </c>
      <c r="AG83" s="52">
        <v>42.805</v>
      </c>
      <c r="AH83" s="53">
        <v>44.164999999999999</v>
      </c>
      <c r="AI83" s="54">
        <v>43.143000000000001</v>
      </c>
      <c r="AJ83" s="55">
        <v>39.700000000000003</v>
      </c>
      <c r="AK83" s="56">
        <v>41.122999999999998</v>
      </c>
      <c r="AL83" s="58">
        <v>41.645000000000003</v>
      </c>
    </row>
    <row r="84" spans="2:38" ht="14.15" customHeight="1" x14ac:dyDescent="0.35">
      <c r="B84" s="59" t="s">
        <v>90</v>
      </c>
      <c r="C84" s="40">
        <v>40.164000000000001</v>
      </c>
      <c r="D84" s="41">
        <v>41.283999999999999</v>
      </c>
      <c r="E84" s="42">
        <v>40.381999999999998</v>
      </c>
      <c r="F84" s="43">
        <v>40.701999999999998</v>
      </c>
      <c r="G84" s="44">
        <v>42.191000000000003</v>
      </c>
      <c r="H84" s="45">
        <v>41.109000000000002</v>
      </c>
      <c r="I84" s="46">
        <v>40.436999999999998</v>
      </c>
      <c r="J84" s="47">
        <v>41.106000000000002</v>
      </c>
      <c r="K84" s="48">
        <v>40.679000000000002</v>
      </c>
      <c r="L84" s="49">
        <v>39.552</v>
      </c>
      <c r="M84" s="50">
        <v>40.680999999999997</v>
      </c>
      <c r="N84" s="51">
        <v>40.521000000000001</v>
      </c>
      <c r="O84" s="52">
        <v>40.575000000000003</v>
      </c>
      <c r="P84" s="53">
        <v>41.527000000000001</v>
      </c>
      <c r="Q84" s="54">
        <v>41.170999999999999</v>
      </c>
      <c r="R84" s="55">
        <v>40.856999999999999</v>
      </c>
      <c r="S84" s="56">
        <v>43.606999999999999</v>
      </c>
      <c r="T84" s="57">
        <v>42.222999999999999</v>
      </c>
      <c r="U84" s="40">
        <v>42.127000000000002</v>
      </c>
      <c r="V84" s="41">
        <v>44.246000000000002</v>
      </c>
      <c r="W84" s="42">
        <v>43.375</v>
      </c>
      <c r="X84" s="43">
        <v>41.008000000000003</v>
      </c>
      <c r="Y84" s="44">
        <v>43.375999999999998</v>
      </c>
      <c r="Z84" s="45">
        <v>42.57</v>
      </c>
      <c r="AA84" s="46">
        <v>44.595999999999997</v>
      </c>
      <c r="AB84" s="47">
        <v>46.83</v>
      </c>
      <c r="AC84" s="48">
        <v>45.164999999999999</v>
      </c>
      <c r="AD84" s="49">
        <v>44.534999999999997</v>
      </c>
      <c r="AE84" s="50">
        <v>46.292000000000002</v>
      </c>
      <c r="AF84" s="51">
        <v>45.404000000000003</v>
      </c>
      <c r="AG84" s="52">
        <v>41.795999999999999</v>
      </c>
      <c r="AH84" s="53">
        <v>43.215000000000003</v>
      </c>
      <c r="AI84" s="54">
        <v>42.430999999999997</v>
      </c>
      <c r="AJ84" s="55">
        <v>38.716000000000001</v>
      </c>
      <c r="AK84" s="56">
        <v>40.235999999999997</v>
      </c>
      <c r="AL84" s="58">
        <v>41.106000000000002</v>
      </c>
    </row>
    <row r="85" spans="2:38" ht="14.15" customHeight="1" x14ac:dyDescent="0.35">
      <c r="B85" s="59" t="s">
        <v>91</v>
      </c>
      <c r="C85" s="40">
        <v>39.182000000000002</v>
      </c>
      <c r="D85" s="41">
        <v>40.326000000000001</v>
      </c>
      <c r="E85" s="42">
        <v>39.531999999999996</v>
      </c>
      <c r="F85" s="43">
        <v>39.695999999999998</v>
      </c>
      <c r="G85" s="44">
        <v>41.22</v>
      </c>
      <c r="H85" s="45">
        <v>40.167999999999999</v>
      </c>
      <c r="I85" s="46">
        <v>39.563000000000002</v>
      </c>
      <c r="J85" s="47">
        <v>40.618000000000002</v>
      </c>
      <c r="K85" s="48">
        <v>39.853999999999999</v>
      </c>
      <c r="L85" s="49">
        <v>40.012999999999998</v>
      </c>
      <c r="M85" s="50">
        <v>41.185000000000002</v>
      </c>
      <c r="N85" s="51">
        <v>41.017000000000003</v>
      </c>
      <c r="O85" s="52">
        <v>40.372999999999998</v>
      </c>
      <c r="P85" s="53">
        <v>41.332000000000001</v>
      </c>
      <c r="Q85" s="54">
        <v>40.99</v>
      </c>
      <c r="R85" s="55">
        <v>40.393999999999998</v>
      </c>
      <c r="S85" s="56">
        <v>43.279000000000003</v>
      </c>
      <c r="T85" s="57">
        <v>42.009</v>
      </c>
      <c r="U85" s="40">
        <v>41.776000000000003</v>
      </c>
      <c r="V85" s="41">
        <v>43.99</v>
      </c>
      <c r="W85" s="42">
        <v>43.076000000000001</v>
      </c>
      <c r="X85" s="43">
        <v>40.869</v>
      </c>
      <c r="Y85" s="44">
        <v>43.213000000000001</v>
      </c>
      <c r="Z85" s="45">
        <v>42.482999999999997</v>
      </c>
      <c r="AA85" s="46">
        <v>44.743000000000002</v>
      </c>
      <c r="AB85" s="47">
        <v>46.7</v>
      </c>
      <c r="AC85" s="48">
        <v>45.494</v>
      </c>
      <c r="AD85" s="49">
        <v>43.356999999999999</v>
      </c>
      <c r="AE85" s="50">
        <v>45.021000000000001</v>
      </c>
      <c r="AF85" s="51">
        <v>44.215000000000003</v>
      </c>
      <c r="AG85" s="52">
        <v>40.844000000000001</v>
      </c>
      <c r="AH85" s="53">
        <v>42.167000000000002</v>
      </c>
      <c r="AI85" s="54">
        <v>41.521000000000001</v>
      </c>
      <c r="AJ85" s="55">
        <v>37.954000000000001</v>
      </c>
      <c r="AK85" s="56">
        <v>39.540999999999997</v>
      </c>
      <c r="AL85" s="58">
        <v>40.298999999999999</v>
      </c>
    </row>
    <row r="86" spans="2:38" ht="14.15" customHeight="1" x14ac:dyDescent="0.35">
      <c r="B86" s="59" t="s">
        <v>92</v>
      </c>
      <c r="C86" s="40">
        <v>37.780999999999999</v>
      </c>
      <c r="D86" s="41">
        <v>38.78</v>
      </c>
      <c r="E86" s="42">
        <v>38.319000000000003</v>
      </c>
      <c r="F86" s="43">
        <v>38.353999999999999</v>
      </c>
      <c r="G86" s="44">
        <v>39.523000000000003</v>
      </c>
      <c r="H86" s="45">
        <v>38.884999999999998</v>
      </c>
      <c r="I86" s="46">
        <v>38.353000000000002</v>
      </c>
      <c r="J86" s="47">
        <v>39.408000000000001</v>
      </c>
      <c r="K86" s="48">
        <v>38.595999999999997</v>
      </c>
      <c r="L86" s="49">
        <v>40.180999999999997</v>
      </c>
      <c r="M86" s="50">
        <v>41.206000000000003</v>
      </c>
      <c r="N86" s="51">
        <v>41.277999999999999</v>
      </c>
      <c r="O86" s="52">
        <v>39.911999999999999</v>
      </c>
      <c r="P86" s="53">
        <v>40.795000000000002</v>
      </c>
      <c r="Q86" s="54">
        <v>40.601999999999997</v>
      </c>
      <c r="R86" s="55">
        <v>39.764000000000003</v>
      </c>
      <c r="S86" s="56">
        <v>42.594000000000001</v>
      </c>
      <c r="T86" s="57">
        <v>41.573999999999998</v>
      </c>
      <c r="U86" s="40">
        <v>41.162999999999997</v>
      </c>
      <c r="V86" s="41">
        <v>43.232999999999997</v>
      </c>
      <c r="W86" s="42">
        <v>42.517000000000003</v>
      </c>
      <c r="X86" s="43">
        <v>40.723999999999997</v>
      </c>
      <c r="Y86" s="44">
        <v>42.796999999999997</v>
      </c>
      <c r="Z86" s="45">
        <v>42.451000000000001</v>
      </c>
      <c r="AA86" s="46">
        <v>43.83</v>
      </c>
      <c r="AB86" s="47">
        <v>45.76</v>
      </c>
      <c r="AC86" s="48">
        <v>44.972999999999999</v>
      </c>
      <c r="AD86" s="49">
        <v>41.771999999999998</v>
      </c>
      <c r="AE86" s="50">
        <v>43.241999999999997</v>
      </c>
      <c r="AF86" s="51">
        <v>42.688000000000002</v>
      </c>
      <c r="AG86" s="52">
        <v>39.368000000000002</v>
      </c>
      <c r="AH86" s="53">
        <v>40.514000000000003</v>
      </c>
      <c r="AI86" s="54">
        <v>40.231999999999999</v>
      </c>
      <c r="AJ86" s="55">
        <v>36.817999999999998</v>
      </c>
      <c r="AK86" s="56">
        <v>38.320999999999998</v>
      </c>
      <c r="AL86" s="58">
        <v>39.177999999999997</v>
      </c>
    </row>
    <row r="87" spans="2:38" ht="14.15" customHeight="1" x14ac:dyDescent="0.35">
      <c r="B87" s="59" t="s">
        <v>93</v>
      </c>
      <c r="C87" s="40">
        <v>36.281999999999996</v>
      </c>
      <c r="D87" s="41">
        <v>37.116999999999997</v>
      </c>
      <c r="E87" s="42">
        <v>36.863999999999997</v>
      </c>
      <c r="F87" s="43">
        <v>36.831000000000003</v>
      </c>
      <c r="G87" s="44">
        <v>37.758000000000003</v>
      </c>
      <c r="H87" s="45">
        <v>37.417999999999999</v>
      </c>
      <c r="I87" s="46">
        <v>36.905000000000001</v>
      </c>
      <c r="J87" s="47">
        <v>37.81</v>
      </c>
      <c r="K87" s="48">
        <v>37.119</v>
      </c>
      <c r="L87" s="49">
        <v>40.341999999999999</v>
      </c>
      <c r="M87" s="50">
        <v>40.889000000000003</v>
      </c>
      <c r="N87" s="51">
        <v>41.262</v>
      </c>
      <c r="O87" s="52">
        <v>39.481999999999999</v>
      </c>
      <c r="P87" s="53">
        <v>40.121000000000002</v>
      </c>
      <c r="Q87" s="54">
        <v>40.179000000000002</v>
      </c>
      <c r="R87" s="55">
        <v>39.396999999999998</v>
      </c>
      <c r="S87" s="56">
        <v>41.957999999999998</v>
      </c>
      <c r="T87" s="57">
        <v>41.085999999999999</v>
      </c>
      <c r="U87" s="40">
        <v>40.509</v>
      </c>
      <c r="V87" s="41">
        <v>42.585000000000001</v>
      </c>
      <c r="W87" s="42">
        <v>41.908999999999999</v>
      </c>
      <c r="X87" s="43">
        <v>40.722999999999999</v>
      </c>
      <c r="Y87" s="44">
        <v>42.545999999999999</v>
      </c>
      <c r="Z87" s="45">
        <v>42.475999999999999</v>
      </c>
      <c r="AA87" s="46">
        <v>42.682000000000002</v>
      </c>
      <c r="AB87" s="47">
        <v>44.258000000000003</v>
      </c>
      <c r="AC87" s="48">
        <v>43.823</v>
      </c>
      <c r="AD87" s="49">
        <v>40.195</v>
      </c>
      <c r="AE87" s="50">
        <v>41.33</v>
      </c>
      <c r="AF87" s="51">
        <v>41.081000000000003</v>
      </c>
      <c r="AG87" s="52">
        <v>38.014000000000003</v>
      </c>
      <c r="AH87" s="53">
        <v>38.628999999999998</v>
      </c>
      <c r="AI87" s="54">
        <v>38.652000000000001</v>
      </c>
      <c r="AJ87" s="55">
        <v>35.561999999999998</v>
      </c>
      <c r="AK87" s="56">
        <v>36.883000000000003</v>
      </c>
      <c r="AL87" s="58">
        <v>37.807000000000002</v>
      </c>
    </row>
    <row r="88" spans="2:38" ht="14.15" customHeight="1" x14ac:dyDescent="0.35">
      <c r="B88" s="59" t="s">
        <v>94</v>
      </c>
      <c r="C88" s="40">
        <v>35.381</v>
      </c>
      <c r="D88" s="41">
        <v>35.866</v>
      </c>
      <c r="E88" s="42">
        <v>35.746000000000002</v>
      </c>
      <c r="F88" s="43">
        <v>35.854999999999997</v>
      </c>
      <c r="G88" s="44">
        <v>36.341999999999999</v>
      </c>
      <c r="H88" s="45">
        <v>36.209000000000003</v>
      </c>
      <c r="I88" s="46">
        <v>35.628999999999998</v>
      </c>
      <c r="J88" s="47">
        <v>36.404000000000003</v>
      </c>
      <c r="K88" s="48">
        <v>35.845999999999997</v>
      </c>
      <c r="L88" s="49">
        <v>40.226999999999997</v>
      </c>
      <c r="M88" s="50">
        <v>40.527000000000001</v>
      </c>
      <c r="N88" s="51">
        <v>40.924999999999997</v>
      </c>
      <c r="O88" s="52">
        <v>39.338000000000001</v>
      </c>
      <c r="P88" s="53">
        <v>39.716000000000001</v>
      </c>
      <c r="Q88" s="54">
        <v>39.840000000000003</v>
      </c>
      <c r="R88" s="55">
        <v>39.006999999999998</v>
      </c>
      <c r="S88" s="56">
        <v>41.302</v>
      </c>
      <c r="T88" s="57">
        <v>40.531999999999996</v>
      </c>
      <c r="U88" s="40">
        <v>40.003999999999998</v>
      </c>
      <c r="V88" s="41">
        <v>41.817999999999998</v>
      </c>
      <c r="W88" s="42">
        <v>41.393999999999998</v>
      </c>
      <c r="X88" s="43">
        <v>40.887</v>
      </c>
      <c r="Y88" s="44">
        <v>42.613999999999997</v>
      </c>
      <c r="Z88" s="45">
        <v>42.576999999999998</v>
      </c>
      <c r="AA88" s="46">
        <v>41.567</v>
      </c>
      <c r="AB88" s="47">
        <v>42.75</v>
      </c>
      <c r="AC88" s="48">
        <v>42.445999999999998</v>
      </c>
      <c r="AD88" s="49">
        <v>38.951999999999998</v>
      </c>
      <c r="AE88" s="50">
        <v>39.777000000000001</v>
      </c>
      <c r="AF88" s="51">
        <v>39.710999999999999</v>
      </c>
      <c r="AG88" s="52">
        <v>36.981999999999999</v>
      </c>
      <c r="AH88" s="53">
        <v>37.31</v>
      </c>
      <c r="AI88" s="54">
        <v>37.412999999999997</v>
      </c>
      <c r="AJ88" s="55">
        <v>34.734999999999999</v>
      </c>
      <c r="AK88" s="56">
        <v>35.752000000000002</v>
      </c>
      <c r="AL88" s="58">
        <v>36.677999999999997</v>
      </c>
    </row>
    <row r="89" spans="2:38" ht="14.15" customHeight="1" x14ac:dyDescent="0.35">
      <c r="B89" s="59" t="s">
        <v>95</v>
      </c>
      <c r="C89" s="40">
        <v>34.692</v>
      </c>
      <c r="D89" s="41">
        <v>34.921999999999997</v>
      </c>
      <c r="E89" s="42">
        <v>34.904000000000003</v>
      </c>
      <c r="F89" s="43">
        <v>35.116999999999997</v>
      </c>
      <c r="G89" s="44">
        <v>35.354999999999997</v>
      </c>
      <c r="H89" s="45">
        <v>35.244</v>
      </c>
      <c r="I89" s="46">
        <v>34.92</v>
      </c>
      <c r="J89" s="47">
        <v>35.381</v>
      </c>
      <c r="K89" s="48">
        <v>34.929000000000002</v>
      </c>
      <c r="L89" s="49">
        <v>39.793999999999997</v>
      </c>
      <c r="M89" s="50">
        <v>39.936</v>
      </c>
      <c r="N89" s="51">
        <v>40.307000000000002</v>
      </c>
      <c r="O89" s="52">
        <v>39.109000000000002</v>
      </c>
      <c r="P89" s="53">
        <v>39.329000000000001</v>
      </c>
      <c r="Q89" s="54">
        <v>39.537999999999997</v>
      </c>
      <c r="R89" s="55">
        <v>38.515000000000001</v>
      </c>
      <c r="S89" s="56">
        <v>40.622999999999998</v>
      </c>
      <c r="T89" s="57">
        <v>39.920999999999999</v>
      </c>
      <c r="U89" s="40">
        <v>39.700000000000003</v>
      </c>
      <c r="V89" s="41">
        <v>41.247999999999998</v>
      </c>
      <c r="W89" s="42">
        <v>40.896000000000001</v>
      </c>
      <c r="X89" s="43">
        <v>40.838999999999999</v>
      </c>
      <c r="Y89" s="44">
        <v>42.518000000000001</v>
      </c>
      <c r="Z89" s="45">
        <v>42.43</v>
      </c>
      <c r="AA89" s="46">
        <v>40.234999999999999</v>
      </c>
      <c r="AB89" s="47">
        <v>41.112000000000002</v>
      </c>
      <c r="AC89" s="48">
        <v>41.027999999999999</v>
      </c>
      <c r="AD89" s="49">
        <v>37.93</v>
      </c>
      <c r="AE89" s="50">
        <v>38.509</v>
      </c>
      <c r="AF89" s="51">
        <v>38.454999999999998</v>
      </c>
      <c r="AG89" s="52">
        <v>36.131999999999998</v>
      </c>
      <c r="AH89" s="53">
        <v>36.122999999999998</v>
      </c>
      <c r="AI89" s="54">
        <v>36.366</v>
      </c>
      <c r="AJ89" s="55">
        <v>34.121000000000002</v>
      </c>
      <c r="AK89" s="56">
        <v>34.865000000000002</v>
      </c>
      <c r="AL89" s="58">
        <v>35.725999999999999</v>
      </c>
    </row>
    <row r="90" spans="2:38" ht="14.15" customHeight="1" x14ac:dyDescent="0.35">
      <c r="B90" s="59" t="s">
        <v>96</v>
      </c>
      <c r="C90" s="40">
        <v>33.814999999999998</v>
      </c>
      <c r="D90" s="41">
        <v>33.771999999999998</v>
      </c>
      <c r="E90" s="42">
        <v>33.978999999999999</v>
      </c>
      <c r="F90" s="43">
        <v>34.241999999999997</v>
      </c>
      <c r="G90" s="44">
        <v>34.186</v>
      </c>
      <c r="H90" s="45">
        <v>34.247</v>
      </c>
      <c r="I90" s="46">
        <v>33.978000000000002</v>
      </c>
      <c r="J90" s="47">
        <v>34.107999999999997</v>
      </c>
      <c r="K90" s="48">
        <v>33.811</v>
      </c>
      <c r="L90" s="49">
        <v>38.841999999999999</v>
      </c>
      <c r="M90" s="50">
        <v>38.819000000000003</v>
      </c>
      <c r="N90" s="51">
        <v>39.167000000000002</v>
      </c>
      <c r="O90" s="52">
        <v>38.542000000000002</v>
      </c>
      <c r="P90" s="53">
        <v>38.665999999999997</v>
      </c>
      <c r="Q90" s="54">
        <v>38.929000000000002</v>
      </c>
      <c r="R90" s="55">
        <v>37.759</v>
      </c>
      <c r="S90" s="56">
        <v>39.561999999999998</v>
      </c>
      <c r="T90" s="57">
        <v>38.972999999999999</v>
      </c>
      <c r="U90" s="40">
        <v>39.070999999999998</v>
      </c>
      <c r="V90" s="41">
        <v>40.445</v>
      </c>
      <c r="W90" s="42">
        <v>40.167999999999999</v>
      </c>
      <c r="X90" s="43">
        <v>40.244999999999997</v>
      </c>
      <c r="Y90" s="44">
        <v>41.63</v>
      </c>
      <c r="Z90" s="45">
        <v>41.502000000000002</v>
      </c>
      <c r="AA90" s="46">
        <v>38.844999999999999</v>
      </c>
      <c r="AB90" s="47">
        <v>39.393000000000001</v>
      </c>
      <c r="AC90" s="48">
        <v>39.332999999999998</v>
      </c>
      <c r="AD90" s="49">
        <v>36.902999999999999</v>
      </c>
      <c r="AE90" s="50">
        <v>37.203000000000003</v>
      </c>
      <c r="AF90" s="51">
        <v>37.136000000000003</v>
      </c>
      <c r="AG90" s="52">
        <v>35.225000000000001</v>
      </c>
      <c r="AH90" s="53">
        <v>34.923999999999999</v>
      </c>
      <c r="AI90" s="54">
        <v>35.293999999999997</v>
      </c>
      <c r="AJ90" s="55">
        <v>33.380000000000003</v>
      </c>
      <c r="AK90" s="56">
        <v>33.981999999999999</v>
      </c>
      <c r="AL90" s="58">
        <v>34.838999999999999</v>
      </c>
    </row>
    <row r="91" spans="2:38" ht="14.15" customHeight="1" x14ac:dyDescent="0.35">
      <c r="B91" s="59" t="s">
        <v>97</v>
      </c>
      <c r="C91" s="40">
        <v>32.837000000000003</v>
      </c>
      <c r="D91" s="41">
        <v>32.722000000000001</v>
      </c>
      <c r="E91" s="42">
        <v>32.906999999999996</v>
      </c>
      <c r="F91" s="43">
        <v>33.268000000000001</v>
      </c>
      <c r="G91" s="44">
        <v>33.042999999999999</v>
      </c>
      <c r="H91" s="45">
        <v>33.174999999999997</v>
      </c>
      <c r="I91" s="46">
        <v>33.027999999999999</v>
      </c>
      <c r="J91" s="47">
        <v>32.978000000000002</v>
      </c>
      <c r="K91" s="48">
        <v>32.695999999999998</v>
      </c>
      <c r="L91" s="49">
        <v>37.64</v>
      </c>
      <c r="M91" s="50">
        <v>37.47</v>
      </c>
      <c r="N91" s="51">
        <v>37.774000000000001</v>
      </c>
      <c r="O91" s="52">
        <v>38.137999999999998</v>
      </c>
      <c r="P91" s="53">
        <v>37.924999999999997</v>
      </c>
      <c r="Q91" s="54">
        <v>38.185000000000002</v>
      </c>
      <c r="R91" s="55">
        <v>37.386000000000003</v>
      </c>
      <c r="S91" s="56">
        <v>38.915999999999997</v>
      </c>
      <c r="T91" s="57">
        <v>38.530999999999999</v>
      </c>
      <c r="U91" s="40">
        <v>39.012999999999998</v>
      </c>
      <c r="V91" s="41">
        <v>40.215000000000003</v>
      </c>
      <c r="W91" s="42">
        <v>39.982999999999997</v>
      </c>
      <c r="X91" s="43">
        <v>39.567999999999998</v>
      </c>
      <c r="Y91" s="44">
        <v>40.670999999999999</v>
      </c>
      <c r="Z91" s="45">
        <v>40.546999999999997</v>
      </c>
      <c r="AA91" s="46">
        <v>37.488999999999997</v>
      </c>
      <c r="AB91" s="47">
        <v>37.857999999999997</v>
      </c>
      <c r="AC91" s="48">
        <v>37.749000000000002</v>
      </c>
      <c r="AD91" s="49">
        <v>35.780999999999999</v>
      </c>
      <c r="AE91" s="50">
        <v>35.798999999999999</v>
      </c>
      <c r="AF91" s="51">
        <v>35.817</v>
      </c>
      <c r="AG91" s="52">
        <v>34.283999999999999</v>
      </c>
      <c r="AH91" s="53">
        <v>33.677999999999997</v>
      </c>
      <c r="AI91" s="54">
        <v>34.11</v>
      </c>
      <c r="AJ91" s="55">
        <v>32.646000000000001</v>
      </c>
      <c r="AK91" s="56">
        <v>32.911999999999999</v>
      </c>
      <c r="AL91" s="58">
        <v>33.74</v>
      </c>
    </row>
    <row r="92" spans="2:38" ht="14.15" customHeight="1" x14ac:dyDescent="0.35">
      <c r="B92" s="59" t="s">
        <v>98</v>
      </c>
      <c r="C92" s="40">
        <v>32.768000000000001</v>
      </c>
      <c r="D92" s="41">
        <v>32.514000000000003</v>
      </c>
      <c r="E92" s="42">
        <v>32.539000000000001</v>
      </c>
      <c r="F92" s="43">
        <v>33.073</v>
      </c>
      <c r="G92" s="44">
        <v>32.765999999999998</v>
      </c>
      <c r="H92" s="45">
        <v>32.738999999999997</v>
      </c>
      <c r="I92" s="46">
        <v>32.741999999999997</v>
      </c>
      <c r="J92" s="47">
        <v>32.652999999999999</v>
      </c>
      <c r="K92" s="48">
        <v>32.334000000000003</v>
      </c>
      <c r="L92" s="49">
        <v>37.097999999999999</v>
      </c>
      <c r="M92" s="50">
        <v>36.817</v>
      </c>
      <c r="N92" s="51">
        <v>37.029000000000003</v>
      </c>
      <c r="O92" s="52">
        <v>37.956000000000003</v>
      </c>
      <c r="P92" s="53">
        <v>37.637</v>
      </c>
      <c r="Q92" s="54">
        <v>38.01</v>
      </c>
      <c r="R92" s="55">
        <v>37.590000000000003</v>
      </c>
      <c r="S92" s="56">
        <v>38.902999999999999</v>
      </c>
      <c r="T92" s="57">
        <v>38.662999999999997</v>
      </c>
      <c r="U92" s="40">
        <v>39.338000000000001</v>
      </c>
      <c r="V92" s="41">
        <v>40.393000000000001</v>
      </c>
      <c r="W92" s="42">
        <v>40.326000000000001</v>
      </c>
      <c r="X92" s="43">
        <v>39.021999999999998</v>
      </c>
      <c r="Y92" s="44">
        <v>39.854999999999997</v>
      </c>
      <c r="Z92" s="45">
        <v>39.722999999999999</v>
      </c>
      <c r="AA92" s="46">
        <v>36.704000000000001</v>
      </c>
      <c r="AB92" s="47">
        <v>36.773000000000003</v>
      </c>
      <c r="AC92" s="48">
        <v>36.713000000000001</v>
      </c>
      <c r="AD92" s="49">
        <v>35.210999999999999</v>
      </c>
      <c r="AE92" s="50">
        <v>35.231000000000002</v>
      </c>
      <c r="AF92" s="51">
        <v>35.145000000000003</v>
      </c>
      <c r="AG92" s="52">
        <v>33.975999999999999</v>
      </c>
      <c r="AH92" s="53">
        <v>33.231000000000002</v>
      </c>
      <c r="AI92" s="54">
        <v>33.594000000000001</v>
      </c>
      <c r="AJ92" s="55">
        <v>32.337000000000003</v>
      </c>
      <c r="AK92" s="56">
        <v>32.603999999999999</v>
      </c>
      <c r="AL92" s="58">
        <v>33.268000000000001</v>
      </c>
    </row>
    <row r="93" spans="2:38" ht="14.15" customHeight="1" x14ac:dyDescent="0.35">
      <c r="B93" s="59" t="s">
        <v>99</v>
      </c>
      <c r="C93" s="40">
        <v>32.677999999999997</v>
      </c>
      <c r="D93" s="41">
        <v>31.952000000000002</v>
      </c>
      <c r="E93" s="42">
        <v>32.067999999999998</v>
      </c>
      <c r="F93" s="43">
        <v>32.963999999999999</v>
      </c>
      <c r="G93" s="44">
        <v>32.037999999999997</v>
      </c>
      <c r="H93" s="45">
        <v>32.112000000000002</v>
      </c>
      <c r="I93" s="46">
        <v>32.676000000000002</v>
      </c>
      <c r="J93" s="47">
        <v>32.042999999999999</v>
      </c>
      <c r="K93" s="48">
        <v>31.765999999999998</v>
      </c>
      <c r="L93" s="49">
        <v>36.488</v>
      </c>
      <c r="M93" s="50">
        <v>35.677</v>
      </c>
      <c r="N93" s="51">
        <v>35.975999999999999</v>
      </c>
      <c r="O93" s="52">
        <v>37.405999999999999</v>
      </c>
      <c r="P93" s="53">
        <v>36.616999999999997</v>
      </c>
      <c r="Q93" s="54">
        <v>37.103000000000002</v>
      </c>
      <c r="R93" s="55">
        <v>38.098999999999997</v>
      </c>
      <c r="S93" s="56">
        <v>38.628</v>
      </c>
      <c r="T93" s="57">
        <v>38.606999999999999</v>
      </c>
      <c r="U93" s="40">
        <v>39.387</v>
      </c>
      <c r="V93" s="41">
        <v>39.753</v>
      </c>
      <c r="W93" s="42">
        <v>40.155999999999999</v>
      </c>
      <c r="X93" s="43">
        <v>38.24</v>
      </c>
      <c r="Y93" s="44">
        <v>38.369</v>
      </c>
      <c r="Z93" s="45">
        <v>38.549999999999997</v>
      </c>
      <c r="AA93" s="46">
        <v>35.453000000000003</v>
      </c>
      <c r="AB93" s="47">
        <v>34.927</v>
      </c>
      <c r="AC93" s="48">
        <v>35.143000000000001</v>
      </c>
      <c r="AD93" s="49">
        <v>34.661999999999999</v>
      </c>
      <c r="AE93" s="50">
        <v>33.924999999999997</v>
      </c>
      <c r="AF93" s="51">
        <v>34.168999999999997</v>
      </c>
      <c r="AG93" s="52">
        <v>33.545000000000002</v>
      </c>
      <c r="AH93" s="53">
        <v>32.323</v>
      </c>
      <c r="AI93" s="54">
        <v>32.86</v>
      </c>
      <c r="AJ93" s="55">
        <v>32.243000000000002</v>
      </c>
      <c r="AK93" s="56">
        <v>32.029000000000003</v>
      </c>
      <c r="AL93" s="58">
        <v>32.613</v>
      </c>
    </row>
    <row r="94" spans="2:38" ht="14.15" customHeight="1" x14ac:dyDescent="0.35">
      <c r="B94" s="59" t="s">
        <v>100</v>
      </c>
      <c r="C94" s="40">
        <v>31.367999999999999</v>
      </c>
      <c r="D94" s="41">
        <v>30.218</v>
      </c>
      <c r="E94" s="42">
        <v>30.434999999999999</v>
      </c>
      <c r="F94" s="43">
        <v>31.638000000000002</v>
      </c>
      <c r="G94" s="44">
        <v>30.273</v>
      </c>
      <c r="H94" s="45">
        <v>30.463999999999999</v>
      </c>
      <c r="I94" s="46">
        <v>31.350999999999999</v>
      </c>
      <c r="J94" s="47">
        <v>30.18</v>
      </c>
      <c r="K94" s="48">
        <v>30.056999999999999</v>
      </c>
      <c r="L94" s="49">
        <v>34.798999999999999</v>
      </c>
      <c r="M94" s="50">
        <v>33.548000000000002</v>
      </c>
      <c r="N94" s="51">
        <v>33.753999999999998</v>
      </c>
      <c r="O94" s="52">
        <v>36.040999999999997</v>
      </c>
      <c r="P94" s="53">
        <v>34.4</v>
      </c>
      <c r="Q94" s="54">
        <v>34.97</v>
      </c>
      <c r="R94" s="55">
        <v>37.398000000000003</v>
      </c>
      <c r="S94" s="56">
        <v>36.972000000000001</v>
      </c>
      <c r="T94" s="57">
        <v>37.262</v>
      </c>
      <c r="U94" s="40">
        <v>38.222999999999999</v>
      </c>
      <c r="V94" s="41">
        <v>38.17</v>
      </c>
      <c r="W94" s="42">
        <v>38.625</v>
      </c>
      <c r="X94" s="43">
        <v>36.756</v>
      </c>
      <c r="Y94" s="44">
        <v>36.052999999999997</v>
      </c>
      <c r="Z94" s="45">
        <v>36.435000000000002</v>
      </c>
      <c r="AA94" s="46">
        <v>33.89</v>
      </c>
      <c r="AB94" s="47">
        <v>32.613999999999997</v>
      </c>
      <c r="AC94" s="48">
        <v>32.869</v>
      </c>
      <c r="AD94" s="49">
        <v>33.244999999999997</v>
      </c>
      <c r="AE94" s="50">
        <v>31.777000000000001</v>
      </c>
      <c r="AF94" s="51">
        <v>32.076000000000001</v>
      </c>
      <c r="AG94" s="52">
        <v>32.209000000000003</v>
      </c>
      <c r="AH94" s="53">
        <v>30.358000000000001</v>
      </c>
      <c r="AI94" s="54">
        <v>31.01</v>
      </c>
      <c r="AJ94" s="55">
        <v>31.14</v>
      </c>
      <c r="AK94" s="56">
        <v>30.45</v>
      </c>
      <c r="AL94" s="58">
        <v>30.896999999999998</v>
      </c>
    </row>
    <row r="95" spans="2:38" ht="14.15" customHeight="1" x14ac:dyDescent="0.35">
      <c r="B95" s="59" t="s">
        <v>101</v>
      </c>
      <c r="C95" s="40">
        <v>30.28</v>
      </c>
      <c r="D95" s="41">
        <v>28.724</v>
      </c>
      <c r="E95" s="42">
        <v>28.895</v>
      </c>
      <c r="F95" s="43">
        <v>30.533999999999999</v>
      </c>
      <c r="G95" s="44">
        <v>28.667000000000002</v>
      </c>
      <c r="H95" s="45">
        <v>28.937999999999999</v>
      </c>
      <c r="I95" s="46">
        <v>30.102</v>
      </c>
      <c r="J95" s="47">
        <v>28.706</v>
      </c>
      <c r="K95" s="48">
        <v>28.609000000000002</v>
      </c>
      <c r="L95" s="49">
        <v>33.369999999999997</v>
      </c>
      <c r="M95" s="50">
        <v>31.748999999999999</v>
      </c>
      <c r="N95" s="51">
        <v>31.997</v>
      </c>
      <c r="O95" s="52">
        <v>34.792999999999999</v>
      </c>
      <c r="P95" s="53">
        <v>32.703000000000003</v>
      </c>
      <c r="Q95" s="54">
        <v>33.177999999999997</v>
      </c>
      <c r="R95" s="55">
        <v>36.29</v>
      </c>
      <c r="S95" s="56">
        <v>35.206000000000003</v>
      </c>
      <c r="T95" s="57">
        <v>35.618000000000002</v>
      </c>
      <c r="U95" s="40">
        <v>36.981000000000002</v>
      </c>
      <c r="V95" s="41">
        <v>36.384999999999998</v>
      </c>
      <c r="W95" s="42">
        <v>36.886000000000003</v>
      </c>
      <c r="X95" s="43">
        <v>35.524000000000001</v>
      </c>
      <c r="Y95" s="44">
        <v>34.29</v>
      </c>
      <c r="Z95" s="45">
        <v>34.594000000000001</v>
      </c>
      <c r="AA95" s="46">
        <v>32.825000000000003</v>
      </c>
      <c r="AB95" s="47">
        <v>30.888000000000002</v>
      </c>
      <c r="AC95" s="48">
        <v>31.145</v>
      </c>
      <c r="AD95" s="49">
        <v>32.11</v>
      </c>
      <c r="AE95" s="50">
        <v>30.064</v>
      </c>
      <c r="AF95" s="51">
        <v>30.507000000000001</v>
      </c>
      <c r="AG95" s="52">
        <v>31.094999999999999</v>
      </c>
      <c r="AH95" s="53">
        <v>28.609000000000002</v>
      </c>
      <c r="AI95" s="54">
        <v>29.338000000000001</v>
      </c>
      <c r="AJ95" s="55">
        <v>30.109000000000002</v>
      </c>
      <c r="AK95" s="56">
        <v>29.045000000000002</v>
      </c>
      <c r="AL95" s="58">
        <v>29.318999999999999</v>
      </c>
    </row>
    <row r="96" spans="2:38" ht="14.15" customHeight="1" x14ac:dyDescent="0.35">
      <c r="B96" s="59" t="s">
        <v>102</v>
      </c>
      <c r="C96" s="40">
        <v>28.952000000000002</v>
      </c>
      <c r="D96" s="41">
        <v>27.29</v>
      </c>
      <c r="E96" s="42">
        <v>27.388000000000002</v>
      </c>
      <c r="F96" s="43">
        <v>29.122</v>
      </c>
      <c r="G96" s="44">
        <v>27.192</v>
      </c>
      <c r="H96" s="45">
        <v>27.413</v>
      </c>
      <c r="I96" s="46">
        <v>28.66</v>
      </c>
      <c r="J96" s="47">
        <v>27.004000000000001</v>
      </c>
      <c r="K96" s="48">
        <v>26.788</v>
      </c>
      <c r="L96" s="49">
        <v>31.808</v>
      </c>
      <c r="M96" s="50">
        <v>29.887</v>
      </c>
      <c r="N96" s="51">
        <v>30.036000000000001</v>
      </c>
      <c r="O96" s="52">
        <v>33.262</v>
      </c>
      <c r="P96" s="53">
        <v>30.741</v>
      </c>
      <c r="Q96" s="54">
        <v>31.094999999999999</v>
      </c>
      <c r="R96" s="55">
        <v>35.067999999999998</v>
      </c>
      <c r="S96" s="56">
        <v>33.368000000000002</v>
      </c>
      <c r="T96" s="57">
        <v>33.694000000000003</v>
      </c>
      <c r="U96" s="40">
        <v>35.680999999999997</v>
      </c>
      <c r="V96" s="41">
        <v>34.354999999999997</v>
      </c>
      <c r="W96" s="42">
        <v>34.920999999999999</v>
      </c>
      <c r="X96" s="43">
        <v>34.231999999999999</v>
      </c>
      <c r="Y96" s="44">
        <v>32.301000000000002</v>
      </c>
      <c r="Z96" s="45">
        <v>32.689</v>
      </c>
      <c r="AA96" s="46">
        <v>31.468</v>
      </c>
      <c r="AB96" s="47">
        <v>29.033000000000001</v>
      </c>
      <c r="AC96" s="48">
        <v>29.236999999999998</v>
      </c>
      <c r="AD96" s="49">
        <v>30.741</v>
      </c>
      <c r="AE96" s="50">
        <v>28.291</v>
      </c>
      <c r="AF96" s="51">
        <v>28.684000000000001</v>
      </c>
      <c r="AG96" s="52">
        <v>29.61</v>
      </c>
      <c r="AH96" s="53">
        <v>26.904</v>
      </c>
      <c r="AI96" s="54">
        <v>27.704999999999998</v>
      </c>
      <c r="AJ96" s="55">
        <v>28.721</v>
      </c>
      <c r="AK96" s="56">
        <v>27.585000000000001</v>
      </c>
      <c r="AL96" s="58">
        <v>27.745000000000001</v>
      </c>
    </row>
    <row r="97" spans="2:38" ht="14.15" customHeight="1" x14ac:dyDescent="0.35">
      <c r="B97" s="59" t="s">
        <v>103</v>
      </c>
      <c r="C97" s="40">
        <v>27.553999999999998</v>
      </c>
      <c r="D97" s="41">
        <v>25.946000000000002</v>
      </c>
      <c r="E97" s="42">
        <v>26.006</v>
      </c>
      <c r="F97" s="43">
        <v>27.753</v>
      </c>
      <c r="G97" s="44">
        <v>25.939</v>
      </c>
      <c r="H97" s="45">
        <v>26.161999999999999</v>
      </c>
      <c r="I97" s="46">
        <v>27.359000000000002</v>
      </c>
      <c r="J97" s="47">
        <v>25.425000000000001</v>
      </c>
      <c r="K97" s="48">
        <v>25.297999999999998</v>
      </c>
      <c r="L97" s="49">
        <v>30.335999999999999</v>
      </c>
      <c r="M97" s="50">
        <v>28.11</v>
      </c>
      <c r="N97" s="51">
        <v>28.186</v>
      </c>
      <c r="O97" s="52">
        <v>31.654</v>
      </c>
      <c r="P97" s="53">
        <v>28.803999999999998</v>
      </c>
      <c r="Q97" s="54">
        <v>29.199000000000002</v>
      </c>
      <c r="R97" s="55">
        <v>33.554000000000002</v>
      </c>
      <c r="S97" s="56">
        <v>31.408999999999999</v>
      </c>
      <c r="T97" s="57">
        <v>31.706</v>
      </c>
      <c r="U97" s="40">
        <v>34.405999999999999</v>
      </c>
      <c r="V97" s="41">
        <v>32.402999999999999</v>
      </c>
      <c r="W97" s="42">
        <v>32.930999999999997</v>
      </c>
      <c r="X97" s="43">
        <v>32.886000000000003</v>
      </c>
      <c r="Y97" s="44">
        <v>30.541</v>
      </c>
      <c r="Z97" s="45">
        <v>30.885999999999999</v>
      </c>
      <c r="AA97" s="46">
        <v>30.013999999999999</v>
      </c>
      <c r="AB97" s="47">
        <v>27.199000000000002</v>
      </c>
      <c r="AC97" s="48">
        <v>27.463000000000001</v>
      </c>
      <c r="AD97" s="49">
        <v>29.353000000000002</v>
      </c>
      <c r="AE97" s="50">
        <v>26.611000000000001</v>
      </c>
      <c r="AF97" s="51">
        <v>27.038</v>
      </c>
      <c r="AG97" s="52">
        <v>28.177</v>
      </c>
      <c r="AH97" s="53">
        <v>25.463999999999999</v>
      </c>
      <c r="AI97" s="54">
        <v>26.228000000000002</v>
      </c>
      <c r="AJ97" s="55">
        <v>27.573</v>
      </c>
      <c r="AK97" s="56">
        <v>26.318999999999999</v>
      </c>
      <c r="AL97" s="58">
        <v>26.372</v>
      </c>
    </row>
    <row r="98" spans="2:38" ht="14.15" customHeight="1" x14ac:dyDescent="0.35">
      <c r="B98" s="59" t="s">
        <v>104</v>
      </c>
      <c r="C98" s="40">
        <v>26.256</v>
      </c>
      <c r="D98" s="41">
        <v>24.484999999999999</v>
      </c>
      <c r="E98" s="42">
        <v>24.477</v>
      </c>
      <c r="F98" s="43">
        <v>26.460999999999999</v>
      </c>
      <c r="G98" s="44">
        <v>24.434999999999999</v>
      </c>
      <c r="H98" s="45">
        <v>24.600999999999999</v>
      </c>
      <c r="I98" s="46">
        <v>26.105</v>
      </c>
      <c r="J98" s="47">
        <v>23.956</v>
      </c>
      <c r="K98" s="48">
        <v>23.716999999999999</v>
      </c>
      <c r="L98" s="49">
        <v>28.858000000000001</v>
      </c>
      <c r="M98" s="50">
        <v>26.44</v>
      </c>
      <c r="N98" s="51">
        <v>26.356999999999999</v>
      </c>
      <c r="O98" s="52">
        <v>30.117999999999999</v>
      </c>
      <c r="P98" s="53">
        <v>27.013999999999999</v>
      </c>
      <c r="Q98" s="54">
        <v>27.344000000000001</v>
      </c>
      <c r="R98" s="55">
        <v>32.067</v>
      </c>
      <c r="S98" s="56">
        <v>29.385000000000002</v>
      </c>
      <c r="T98" s="57">
        <v>29.771000000000001</v>
      </c>
      <c r="U98" s="40">
        <v>32.96</v>
      </c>
      <c r="V98" s="41">
        <v>30.498999999999999</v>
      </c>
      <c r="W98" s="42">
        <v>30.998000000000001</v>
      </c>
      <c r="X98" s="43">
        <v>31.527999999999999</v>
      </c>
      <c r="Y98" s="44">
        <v>28.766999999999999</v>
      </c>
      <c r="Z98" s="45">
        <v>29.181999999999999</v>
      </c>
      <c r="AA98" s="46">
        <v>28.719000000000001</v>
      </c>
      <c r="AB98" s="47">
        <v>25.536999999999999</v>
      </c>
      <c r="AC98" s="48">
        <v>25.786999999999999</v>
      </c>
      <c r="AD98" s="49">
        <v>28.029</v>
      </c>
      <c r="AE98" s="50">
        <v>25.053999999999998</v>
      </c>
      <c r="AF98" s="51">
        <v>25.36</v>
      </c>
      <c r="AG98" s="52">
        <v>26.72</v>
      </c>
      <c r="AH98" s="53">
        <v>23.783000000000001</v>
      </c>
      <c r="AI98" s="54">
        <v>24.541</v>
      </c>
      <c r="AJ98" s="55">
        <v>26.35</v>
      </c>
      <c r="AK98" s="56">
        <v>24.835999999999999</v>
      </c>
      <c r="AL98" s="58">
        <v>24.753</v>
      </c>
    </row>
    <row r="99" spans="2:38" ht="14.15" customHeight="1" x14ac:dyDescent="0.35">
      <c r="B99" s="59" t="s">
        <v>105</v>
      </c>
      <c r="C99" s="40">
        <v>25.052</v>
      </c>
      <c r="D99" s="41">
        <v>23.093</v>
      </c>
      <c r="E99" s="42">
        <v>23.114999999999998</v>
      </c>
      <c r="F99" s="43">
        <v>25.251999999999999</v>
      </c>
      <c r="G99" s="44">
        <v>23.081</v>
      </c>
      <c r="H99" s="45">
        <v>23.238</v>
      </c>
      <c r="I99" s="46">
        <v>24.968</v>
      </c>
      <c r="J99" s="47">
        <v>22.544</v>
      </c>
      <c r="K99" s="48">
        <v>22.381</v>
      </c>
      <c r="L99" s="49">
        <v>27.454999999999998</v>
      </c>
      <c r="M99" s="50">
        <v>24.895</v>
      </c>
      <c r="N99" s="51">
        <v>24.81</v>
      </c>
      <c r="O99" s="52">
        <v>28.785</v>
      </c>
      <c r="P99" s="53">
        <v>25.388000000000002</v>
      </c>
      <c r="Q99" s="54">
        <v>25.771000000000001</v>
      </c>
      <c r="R99" s="55">
        <v>30.774999999999999</v>
      </c>
      <c r="S99" s="56">
        <v>27.759</v>
      </c>
      <c r="T99" s="57">
        <v>28.195</v>
      </c>
      <c r="U99" s="40">
        <v>31.747</v>
      </c>
      <c r="V99" s="41">
        <v>28.893000000000001</v>
      </c>
      <c r="W99" s="42">
        <v>29.398</v>
      </c>
      <c r="X99" s="43">
        <v>30.373000000000001</v>
      </c>
      <c r="Y99" s="44">
        <v>27.335000000000001</v>
      </c>
      <c r="Z99" s="45">
        <v>27.818000000000001</v>
      </c>
      <c r="AA99" s="46">
        <v>27.484000000000002</v>
      </c>
      <c r="AB99" s="47">
        <v>24.152999999999999</v>
      </c>
      <c r="AC99" s="48">
        <v>24.456</v>
      </c>
      <c r="AD99" s="49">
        <v>26.96</v>
      </c>
      <c r="AE99" s="50">
        <v>23.63</v>
      </c>
      <c r="AF99" s="51">
        <v>23.949000000000002</v>
      </c>
      <c r="AG99" s="52">
        <v>25.425999999999998</v>
      </c>
      <c r="AH99" s="53">
        <v>22.356000000000002</v>
      </c>
      <c r="AI99" s="54">
        <v>23.06</v>
      </c>
      <c r="AJ99" s="55">
        <v>25.213999999999999</v>
      </c>
      <c r="AK99" s="56">
        <v>23.402000000000001</v>
      </c>
      <c r="AL99" s="58">
        <v>23.311</v>
      </c>
    </row>
    <row r="100" spans="2:38" ht="14.15" customHeight="1" thickBot="1" x14ac:dyDescent="0.4">
      <c r="B100" s="60" t="s">
        <v>106</v>
      </c>
      <c r="C100" s="40">
        <v>23.942</v>
      </c>
      <c r="D100" s="41">
        <v>21.67</v>
      </c>
      <c r="E100" s="42">
        <v>21.763999999999999</v>
      </c>
      <c r="F100" s="43">
        <v>24.173999999999999</v>
      </c>
      <c r="G100" s="44">
        <v>21.763000000000002</v>
      </c>
      <c r="H100" s="45">
        <v>21.928999999999998</v>
      </c>
      <c r="I100" s="46">
        <v>23.698</v>
      </c>
      <c r="J100" s="47">
        <v>21.228000000000002</v>
      </c>
      <c r="K100" s="48">
        <v>21.074999999999999</v>
      </c>
      <c r="L100" s="49">
        <v>25.849</v>
      </c>
      <c r="M100" s="50">
        <v>23.378</v>
      </c>
      <c r="N100" s="51">
        <v>23.25</v>
      </c>
      <c r="O100" s="52">
        <v>27.228000000000002</v>
      </c>
      <c r="P100" s="53">
        <v>23.878</v>
      </c>
      <c r="Q100" s="54">
        <v>24.234999999999999</v>
      </c>
      <c r="R100" s="55">
        <v>29.315000000000001</v>
      </c>
      <c r="S100" s="56">
        <v>26.170999999999999</v>
      </c>
      <c r="T100" s="57">
        <v>26.661999999999999</v>
      </c>
      <c r="U100" s="40">
        <v>30.266999999999999</v>
      </c>
      <c r="V100" s="41">
        <v>27.31</v>
      </c>
      <c r="W100" s="42">
        <v>27.888000000000002</v>
      </c>
      <c r="X100" s="43">
        <v>29.059000000000001</v>
      </c>
      <c r="Y100" s="44">
        <v>25.969000000000001</v>
      </c>
      <c r="Z100" s="45">
        <v>26.488</v>
      </c>
      <c r="AA100" s="46">
        <v>26.145</v>
      </c>
      <c r="AB100" s="47">
        <v>22.771000000000001</v>
      </c>
      <c r="AC100" s="48">
        <v>23.114999999999998</v>
      </c>
      <c r="AD100" s="49">
        <v>25.439</v>
      </c>
      <c r="AE100" s="50">
        <v>22.181000000000001</v>
      </c>
      <c r="AF100" s="51">
        <v>22.507000000000001</v>
      </c>
      <c r="AG100" s="52">
        <v>24.21</v>
      </c>
      <c r="AH100" s="53">
        <v>20.879000000000001</v>
      </c>
      <c r="AI100" s="54">
        <v>21.582999999999998</v>
      </c>
      <c r="AJ100" s="55">
        <v>24.158000000000001</v>
      </c>
      <c r="AK100" s="56">
        <v>21.995000000000001</v>
      </c>
      <c r="AL100" s="58">
        <v>21.911000000000001</v>
      </c>
    </row>
    <row r="103" spans="2:38" x14ac:dyDescent="0.25"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</row>
    <row r="104" spans="2:38" x14ac:dyDescent="0.25"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</row>
    <row r="105" spans="2:38" x14ac:dyDescent="0.25"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</row>
    <row r="106" spans="2:38" x14ac:dyDescent="0.25"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</row>
    <row r="107" spans="2:38" x14ac:dyDescent="0.25"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</row>
    <row r="108" spans="2:38" x14ac:dyDescent="0.25"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</row>
    <row r="109" spans="2:38" x14ac:dyDescent="0.25"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</row>
    <row r="110" spans="2:38" x14ac:dyDescent="0.25"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</row>
    <row r="111" spans="2:38" x14ac:dyDescent="0.25"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</row>
    <row r="112" spans="2:38" x14ac:dyDescent="0.25"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</row>
    <row r="113" spans="3:38" x14ac:dyDescent="0.25"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</row>
    <row r="114" spans="3:38" x14ac:dyDescent="0.25"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</row>
    <row r="115" spans="3:38" x14ac:dyDescent="0.25"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</row>
    <row r="116" spans="3:38" x14ac:dyDescent="0.25"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</row>
    <row r="117" spans="3:38" x14ac:dyDescent="0.25"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</row>
    <row r="118" spans="3:38" x14ac:dyDescent="0.25"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</row>
    <row r="119" spans="3:38" x14ac:dyDescent="0.25"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</row>
    <row r="120" spans="3:38" x14ac:dyDescent="0.25"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</row>
    <row r="121" spans="3:38" x14ac:dyDescent="0.25"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</row>
    <row r="122" spans="3:38" x14ac:dyDescent="0.25"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</row>
    <row r="123" spans="3:38" x14ac:dyDescent="0.25"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</row>
    <row r="124" spans="3:38" x14ac:dyDescent="0.25"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</row>
    <row r="125" spans="3:38" x14ac:dyDescent="0.25"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</row>
    <row r="126" spans="3:38" x14ac:dyDescent="0.25"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</row>
    <row r="127" spans="3:38" x14ac:dyDescent="0.25"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</row>
    <row r="128" spans="3:38" x14ac:dyDescent="0.25"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</row>
    <row r="129" spans="3:38" x14ac:dyDescent="0.25"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</row>
    <row r="130" spans="3:38" x14ac:dyDescent="0.25"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</row>
    <row r="131" spans="3:38" x14ac:dyDescent="0.25"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</row>
    <row r="132" spans="3:38" x14ac:dyDescent="0.25"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</row>
    <row r="133" spans="3:38" x14ac:dyDescent="0.25"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</row>
    <row r="134" spans="3:38" x14ac:dyDescent="0.25"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</row>
    <row r="135" spans="3:38" x14ac:dyDescent="0.25"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</row>
    <row r="136" spans="3:38" x14ac:dyDescent="0.25"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</row>
    <row r="137" spans="3:38" x14ac:dyDescent="0.25"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</row>
    <row r="138" spans="3:38" x14ac:dyDescent="0.25"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</row>
    <row r="139" spans="3:38" x14ac:dyDescent="0.25"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</row>
    <row r="140" spans="3:38" x14ac:dyDescent="0.25"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</row>
    <row r="141" spans="3:38" x14ac:dyDescent="0.25"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</row>
    <row r="142" spans="3:38" x14ac:dyDescent="0.25"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</row>
    <row r="143" spans="3:38" x14ac:dyDescent="0.25"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</row>
    <row r="144" spans="3:38" x14ac:dyDescent="0.25"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</row>
    <row r="145" spans="3:38" x14ac:dyDescent="0.25"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</row>
    <row r="146" spans="3:38" x14ac:dyDescent="0.25"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</row>
    <row r="147" spans="3:38" x14ac:dyDescent="0.25"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</row>
    <row r="148" spans="3:38" x14ac:dyDescent="0.25"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</row>
    <row r="149" spans="3:38" x14ac:dyDescent="0.25"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</row>
    <row r="150" spans="3:38" x14ac:dyDescent="0.25"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</row>
    <row r="151" spans="3:38" x14ac:dyDescent="0.25"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</row>
    <row r="152" spans="3:38" x14ac:dyDescent="0.25"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</row>
    <row r="153" spans="3:38" x14ac:dyDescent="0.25"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</row>
    <row r="154" spans="3:38" x14ac:dyDescent="0.25"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</row>
    <row r="155" spans="3:38" x14ac:dyDescent="0.25"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</row>
    <row r="156" spans="3:38" x14ac:dyDescent="0.25"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</row>
    <row r="157" spans="3:38" x14ac:dyDescent="0.25"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</row>
    <row r="158" spans="3:38" x14ac:dyDescent="0.25"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</row>
    <row r="159" spans="3:38" x14ac:dyDescent="0.25"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</row>
    <row r="160" spans="3:38" x14ac:dyDescent="0.25"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</row>
    <row r="161" spans="3:38" x14ac:dyDescent="0.25"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</row>
    <row r="162" spans="3:38" x14ac:dyDescent="0.25"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</row>
    <row r="163" spans="3:38" x14ac:dyDescent="0.25"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</row>
    <row r="164" spans="3:38" x14ac:dyDescent="0.25"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</row>
    <row r="165" spans="3:38" x14ac:dyDescent="0.25"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</row>
    <row r="166" spans="3:38" x14ac:dyDescent="0.25"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</row>
    <row r="167" spans="3:38" x14ac:dyDescent="0.25"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</row>
    <row r="168" spans="3:38" x14ac:dyDescent="0.25"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</row>
    <row r="169" spans="3:38" x14ac:dyDescent="0.25"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</row>
    <row r="170" spans="3:38" x14ac:dyDescent="0.25"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</row>
    <row r="171" spans="3:38" x14ac:dyDescent="0.25"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</row>
    <row r="172" spans="3:38" x14ac:dyDescent="0.25"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</row>
    <row r="173" spans="3:38" x14ac:dyDescent="0.25"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</row>
    <row r="174" spans="3:38" x14ac:dyDescent="0.25"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</row>
    <row r="175" spans="3:38" x14ac:dyDescent="0.25"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</row>
    <row r="176" spans="3:38" x14ac:dyDescent="0.25"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</row>
    <row r="177" spans="3:38" x14ac:dyDescent="0.25"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</row>
    <row r="178" spans="3:38" x14ac:dyDescent="0.25"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</row>
    <row r="179" spans="3:38" x14ac:dyDescent="0.25"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</row>
    <row r="180" spans="3:38" x14ac:dyDescent="0.25"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</row>
    <row r="181" spans="3:38" x14ac:dyDescent="0.25"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</row>
    <row r="182" spans="3:38" x14ac:dyDescent="0.25"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</row>
    <row r="183" spans="3:38" x14ac:dyDescent="0.25"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</row>
    <row r="184" spans="3:38" x14ac:dyDescent="0.25"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</row>
    <row r="185" spans="3:38" x14ac:dyDescent="0.25"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</row>
    <row r="186" spans="3:38" x14ac:dyDescent="0.25"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</row>
    <row r="187" spans="3:38" x14ac:dyDescent="0.25"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</row>
    <row r="188" spans="3:38" x14ac:dyDescent="0.25"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</row>
    <row r="189" spans="3:38" x14ac:dyDescent="0.25"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</row>
    <row r="190" spans="3:38" x14ac:dyDescent="0.25"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</row>
    <row r="191" spans="3:38" x14ac:dyDescent="0.25"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</row>
    <row r="192" spans="3:38" x14ac:dyDescent="0.25"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</row>
    <row r="193" spans="3:38" x14ac:dyDescent="0.25"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</row>
    <row r="194" spans="3:38" x14ac:dyDescent="0.25"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</row>
    <row r="195" spans="3:38" x14ac:dyDescent="0.25"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</row>
    <row r="196" spans="3:38" x14ac:dyDescent="0.25"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</row>
    <row r="197" spans="3:38" x14ac:dyDescent="0.25"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</row>
    <row r="198" spans="3:38" x14ac:dyDescent="0.25"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</row>
    <row r="199" spans="3:38" x14ac:dyDescent="0.25"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</row>
    <row r="200" spans="3:38" x14ac:dyDescent="0.25"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</row>
    <row r="201" spans="3:38" x14ac:dyDescent="0.25"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</row>
    <row r="202" spans="3:38" x14ac:dyDescent="0.25"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</row>
    <row r="203" spans="3:38" x14ac:dyDescent="0.25"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</row>
    <row r="204" spans="3:38" x14ac:dyDescent="0.25"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</row>
    <row r="205" spans="3:38" x14ac:dyDescent="0.25"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</row>
    <row r="206" spans="3:38" x14ac:dyDescent="0.25"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</row>
    <row r="207" spans="3:38" x14ac:dyDescent="0.25"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</row>
    <row r="208" spans="3:38" x14ac:dyDescent="0.25"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</row>
    <row r="209" spans="3:38" x14ac:dyDescent="0.25"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</row>
    <row r="210" spans="3:38" x14ac:dyDescent="0.25"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</row>
    <row r="211" spans="3:38" x14ac:dyDescent="0.25"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</row>
    <row r="212" spans="3:38" x14ac:dyDescent="0.25"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</row>
    <row r="213" spans="3:38" x14ac:dyDescent="0.25"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</row>
    <row r="214" spans="3:38" x14ac:dyDescent="0.25"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</row>
    <row r="215" spans="3:38" x14ac:dyDescent="0.25"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</row>
    <row r="216" spans="3:38" x14ac:dyDescent="0.25"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</row>
    <row r="217" spans="3:38" x14ac:dyDescent="0.25"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</row>
    <row r="218" spans="3:38" x14ac:dyDescent="0.25"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</row>
    <row r="219" spans="3:38" x14ac:dyDescent="0.25"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</row>
    <row r="220" spans="3:38" x14ac:dyDescent="0.25"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</row>
    <row r="221" spans="3:38" x14ac:dyDescent="0.25"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</row>
    <row r="222" spans="3:38" x14ac:dyDescent="0.25"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</row>
    <row r="223" spans="3:38" x14ac:dyDescent="0.25"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</row>
    <row r="224" spans="3:38" x14ac:dyDescent="0.25"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</row>
    <row r="225" spans="3:38" x14ac:dyDescent="0.25"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</row>
    <row r="226" spans="3:38" x14ac:dyDescent="0.25"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</row>
    <row r="227" spans="3:38" x14ac:dyDescent="0.25"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</row>
    <row r="228" spans="3:38" x14ac:dyDescent="0.25"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</row>
    <row r="229" spans="3:38" x14ac:dyDescent="0.25"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</row>
    <row r="230" spans="3:38" x14ac:dyDescent="0.25"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</row>
    <row r="231" spans="3:38" x14ac:dyDescent="0.25"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</row>
    <row r="232" spans="3:38" x14ac:dyDescent="0.25"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</row>
    <row r="233" spans="3:38" x14ac:dyDescent="0.25"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</row>
    <row r="234" spans="3:38" x14ac:dyDescent="0.25"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</row>
    <row r="235" spans="3:38" x14ac:dyDescent="0.25"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</row>
    <row r="236" spans="3:38" x14ac:dyDescent="0.25"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</row>
    <row r="237" spans="3:38" x14ac:dyDescent="0.25"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</row>
    <row r="238" spans="3:38" x14ac:dyDescent="0.25"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</row>
    <row r="239" spans="3:38" x14ac:dyDescent="0.25"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</row>
    <row r="240" spans="3:38" x14ac:dyDescent="0.25"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</row>
    <row r="241" spans="3:38" x14ac:dyDescent="0.25"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</row>
    <row r="242" spans="3:38" x14ac:dyDescent="0.25"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</row>
    <row r="243" spans="3:38" x14ac:dyDescent="0.25"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</row>
    <row r="244" spans="3:38" x14ac:dyDescent="0.25"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</row>
    <row r="245" spans="3:38" x14ac:dyDescent="0.25"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</row>
    <row r="246" spans="3:38" x14ac:dyDescent="0.25"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</row>
    <row r="247" spans="3:38" x14ac:dyDescent="0.25"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</row>
    <row r="248" spans="3:38" x14ac:dyDescent="0.25"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</row>
    <row r="249" spans="3:38" x14ac:dyDescent="0.25"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</row>
    <row r="250" spans="3:38" x14ac:dyDescent="0.25"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</row>
    <row r="251" spans="3:38" x14ac:dyDescent="0.25"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</row>
    <row r="252" spans="3:38" x14ac:dyDescent="0.25"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</row>
    <row r="253" spans="3:38" x14ac:dyDescent="0.25"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</row>
    <row r="254" spans="3:38" x14ac:dyDescent="0.25"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</row>
    <row r="255" spans="3:38" x14ac:dyDescent="0.25"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</row>
    <row r="256" spans="3:38" x14ac:dyDescent="0.25"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</row>
    <row r="257" spans="3:38" x14ac:dyDescent="0.25"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</row>
    <row r="258" spans="3:38" x14ac:dyDescent="0.25"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</row>
    <row r="259" spans="3:38" x14ac:dyDescent="0.25"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</row>
    <row r="260" spans="3:38" x14ac:dyDescent="0.25"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</row>
    <row r="261" spans="3:38" x14ac:dyDescent="0.25"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</row>
    <row r="262" spans="3:38" x14ac:dyDescent="0.25"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</row>
    <row r="263" spans="3:38" x14ac:dyDescent="0.25"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</row>
    <row r="264" spans="3:38" x14ac:dyDescent="0.25"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</row>
    <row r="265" spans="3:38" x14ac:dyDescent="0.25"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</row>
    <row r="266" spans="3:38" x14ac:dyDescent="0.25"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</row>
    <row r="267" spans="3:38" x14ac:dyDescent="0.25"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</row>
    <row r="268" spans="3:38" x14ac:dyDescent="0.25"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</row>
    <row r="269" spans="3:38" x14ac:dyDescent="0.25"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</row>
    <row r="270" spans="3:38" x14ac:dyDescent="0.25"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</row>
    <row r="271" spans="3:38" x14ac:dyDescent="0.25"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</row>
    <row r="272" spans="3:38" x14ac:dyDescent="0.25"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</row>
    <row r="273" spans="3:38" x14ac:dyDescent="0.25"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</row>
    <row r="274" spans="3:38" x14ac:dyDescent="0.25"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</row>
    <row r="275" spans="3:38" x14ac:dyDescent="0.25"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</row>
    <row r="276" spans="3:38" x14ac:dyDescent="0.25"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</row>
    <row r="277" spans="3:38" x14ac:dyDescent="0.25"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</row>
    <row r="278" spans="3:38" x14ac:dyDescent="0.25"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</row>
    <row r="279" spans="3:38" x14ac:dyDescent="0.25"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</row>
    <row r="280" spans="3:38" x14ac:dyDescent="0.25"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</row>
    <row r="281" spans="3:38" x14ac:dyDescent="0.25"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</row>
    <row r="282" spans="3:38" x14ac:dyDescent="0.25"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</row>
    <row r="283" spans="3:38" x14ac:dyDescent="0.25"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</row>
    <row r="284" spans="3:38" x14ac:dyDescent="0.25"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</row>
    <row r="285" spans="3:38" x14ac:dyDescent="0.25"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</row>
    <row r="286" spans="3:38" x14ac:dyDescent="0.25"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</row>
    <row r="287" spans="3:38" x14ac:dyDescent="0.25"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</row>
    <row r="288" spans="3:38" x14ac:dyDescent="0.25"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</row>
    <row r="289" spans="3:38" x14ac:dyDescent="0.25"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</row>
    <row r="290" spans="3:38" x14ac:dyDescent="0.25"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</row>
    <row r="291" spans="3:38" x14ac:dyDescent="0.25"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</row>
    <row r="292" spans="3:38" x14ac:dyDescent="0.25"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</row>
    <row r="293" spans="3:38" x14ac:dyDescent="0.25"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</row>
    <row r="294" spans="3:38" x14ac:dyDescent="0.25"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</row>
    <row r="295" spans="3:38" x14ac:dyDescent="0.25"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</row>
    <row r="296" spans="3:38" x14ac:dyDescent="0.25"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</row>
    <row r="297" spans="3:38" x14ac:dyDescent="0.25"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</row>
    <row r="298" spans="3:38" x14ac:dyDescent="0.25"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"Haushalt"</oddHeader>
    <oddFooter>&amp;RBTU Cottbus - Lehrstuhl Energeiwirtschaft - September 1999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0DA2-1521-4325-B93F-80B692E36923}">
  <dimension ref="A1:I10"/>
  <sheetViews>
    <sheetView showGridLines="0" zoomScale="120" zoomScaleNormal="120" workbookViewId="0">
      <selection activeCell="J13" sqref="J13"/>
    </sheetView>
  </sheetViews>
  <sheetFormatPr baseColWidth="10" defaultRowHeight="12.5" x14ac:dyDescent="0.25"/>
  <cols>
    <col min="1" max="16384" width="10.90625" style="98"/>
  </cols>
  <sheetData>
    <row r="1" spans="1:9" ht="20" x14ac:dyDescent="0.25">
      <c r="A1" s="110" t="s">
        <v>641</v>
      </c>
      <c r="B1" s="110"/>
      <c r="C1" s="110"/>
      <c r="D1" s="111" t="s">
        <v>642</v>
      </c>
      <c r="E1" s="111"/>
      <c r="F1" s="111"/>
      <c r="G1" s="111"/>
      <c r="H1" s="111"/>
      <c r="I1" s="111"/>
    </row>
    <row r="2" spans="1:9" x14ac:dyDescent="0.25">
      <c r="A2" s="110"/>
      <c r="B2" s="110"/>
      <c r="C2" s="110"/>
      <c r="D2" s="99"/>
      <c r="E2" s="99"/>
      <c r="F2" s="99"/>
      <c r="G2" s="99"/>
      <c r="H2" s="99"/>
      <c r="I2" s="99"/>
    </row>
    <row r="3" spans="1:9" x14ac:dyDescent="0.25">
      <c r="A3" s="2"/>
      <c r="B3" s="2"/>
      <c r="C3" s="2"/>
      <c r="D3" s="99"/>
      <c r="E3" s="100"/>
      <c r="F3" s="100"/>
      <c r="G3" s="100"/>
      <c r="H3" s="100"/>
      <c r="I3" s="101"/>
    </row>
    <row r="4" spans="1:9" x14ac:dyDescent="0.25">
      <c r="D4" s="99"/>
      <c r="E4" s="99"/>
      <c r="F4" s="99"/>
      <c r="G4" s="99"/>
      <c r="H4" s="99"/>
      <c r="I4" s="99"/>
    </row>
    <row r="5" spans="1:9" x14ac:dyDescent="0.25">
      <c r="D5" s="99"/>
      <c r="E5" s="99"/>
      <c r="F5" s="99"/>
      <c r="G5" s="99"/>
      <c r="H5" s="99"/>
      <c r="I5" s="99"/>
    </row>
    <row r="6" spans="1:9" x14ac:dyDescent="0.25">
      <c r="D6" s="99"/>
      <c r="E6" s="99"/>
      <c r="F6" s="99"/>
      <c r="G6" s="99"/>
      <c r="H6" s="99"/>
      <c r="I6" s="99"/>
    </row>
    <row r="7" spans="1:9" x14ac:dyDescent="0.25">
      <c r="D7" s="99"/>
      <c r="E7" s="99"/>
      <c r="F7" s="99"/>
      <c r="G7" s="99"/>
      <c r="H7" s="99"/>
      <c r="I7" s="99"/>
    </row>
    <row r="8" spans="1:9" x14ac:dyDescent="0.25">
      <c r="D8" s="99"/>
      <c r="E8" s="99"/>
      <c r="F8" s="99"/>
      <c r="G8" s="99"/>
      <c r="H8" s="99"/>
      <c r="I8" s="99"/>
    </row>
    <row r="9" spans="1:9" x14ac:dyDescent="0.25">
      <c r="D9" s="99"/>
      <c r="E9" s="99"/>
      <c r="F9" s="99"/>
      <c r="G9" s="99"/>
      <c r="H9" s="99"/>
      <c r="I9" s="99"/>
    </row>
    <row r="10" spans="1:9" x14ac:dyDescent="0.25">
      <c r="D10" s="99"/>
      <c r="E10" s="99"/>
      <c r="F10" s="99"/>
      <c r="G10" s="99"/>
      <c r="H10" s="99"/>
      <c r="I10" s="99"/>
    </row>
  </sheetData>
  <mergeCells count="2">
    <mergeCell ref="A1:C2"/>
    <mergeCell ref="D1:I1"/>
  </mergeCells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06CA-C156-45C6-83A2-8F375DB59B1F}">
  <dimension ref="A1:S375"/>
  <sheetViews>
    <sheetView workbookViewId="0">
      <selection activeCell="F8" sqref="F8"/>
    </sheetView>
  </sheetViews>
  <sheetFormatPr baseColWidth="10" defaultColWidth="8.7265625" defaultRowHeight="14.5" x14ac:dyDescent="0.35"/>
  <cols>
    <col min="1" max="1" width="11.36328125" style="65" customWidth="1"/>
    <col min="2" max="2" width="11.90625" style="65" customWidth="1"/>
    <col min="3" max="16384" width="8.7265625" style="65"/>
  </cols>
  <sheetData>
    <row r="1" spans="1:19" x14ac:dyDescent="0.35">
      <c r="A1" s="65" t="s">
        <v>180</v>
      </c>
    </row>
    <row r="2" spans="1:19" x14ac:dyDescent="0.35">
      <c r="A2" s="65" t="s">
        <v>181</v>
      </c>
    </row>
    <row r="3" spans="1:19" x14ac:dyDescent="0.35">
      <c r="A3" s="65" t="s">
        <v>182</v>
      </c>
    </row>
    <row r="4" spans="1:19" x14ac:dyDescent="0.35">
      <c r="A4" s="65" t="s">
        <v>183</v>
      </c>
    </row>
    <row r="5" spans="1:19" x14ac:dyDescent="0.35">
      <c r="A5" s="65" t="s">
        <v>184</v>
      </c>
    </row>
    <row r="6" spans="1:19" x14ac:dyDescent="0.35">
      <c r="A6" s="65" t="s">
        <v>185</v>
      </c>
    </row>
    <row r="7" spans="1:19" x14ac:dyDescent="0.35">
      <c r="A7" s="65" t="s">
        <v>186</v>
      </c>
    </row>
    <row r="8" spans="1:19" x14ac:dyDescent="0.35">
      <c r="A8" s="65" t="s">
        <v>187</v>
      </c>
    </row>
    <row r="10" spans="1:19" x14ac:dyDescent="0.35">
      <c r="A10" s="65" t="s">
        <v>188</v>
      </c>
      <c r="B10" s="65" t="s">
        <v>189</v>
      </c>
      <c r="C10" s="65" t="s">
        <v>190</v>
      </c>
      <c r="D10" s="65" t="s">
        <v>191</v>
      </c>
      <c r="E10" s="65" t="s">
        <v>192</v>
      </c>
      <c r="F10" s="65" t="s">
        <v>193</v>
      </c>
      <c r="G10" s="65" t="s">
        <v>194</v>
      </c>
      <c r="H10" s="65" t="s">
        <v>195</v>
      </c>
      <c r="I10" s="65" t="s">
        <v>196</v>
      </c>
      <c r="J10" s="65" t="s">
        <v>197</v>
      </c>
      <c r="K10" s="65" t="s">
        <v>198</v>
      </c>
      <c r="L10" s="65" t="s">
        <v>199</v>
      </c>
      <c r="M10" s="65" t="s">
        <v>200</v>
      </c>
      <c r="N10" s="65" t="s">
        <v>201</v>
      </c>
      <c r="O10" s="65" t="s">
        <v>202</v>
      </c>
      <c r="P10" s="65" t="s">
        <v>203</v>
      </c>
      <c r="Q10" s="65" t="s">
        <v>204</v>
      </c>
      <c r="R10" s="65" t="s">
        <v>205</v>
      </c>
      <c r="S10" s="65" t="s">
        <v>206</v>
      </c>
    </row>
    <row r="11" spans="1:19" x14ac:dyDescent="0.35">
      <c r="A11" s="76">
        <v>45658</v>
      </c>
      <c r="B11" s="65" t="s">
        <v>207</v>
      </c>
      <c r="C11" s="66">
        <v>0.95</v>
      </c>
      <c r="D11" s="66">
        <v>33.270000000000003</v>
      </c>
      <c r="E11" s="66">
        <v>22.14</v>
      </c>
      <c r="F11" s="66">
        <v>6.1</v>
      </c>
      <c r="G11" s="66">
        <v>6.28</v>
      </c>
      <c r="H11" s="66">
        <v>22.59</v>
      </c>
      <c r="I11" s="66">
        <v>35.69</v>
      </c>
      <c r="J11" s="66">
        <v>21.1</v>
      </c>
      <c r="K11" s="66">
        <v>96.2</v>
      </c>
      <c r="L11" s="66">
        <v>1.53</v>
      </c>
      <c r="M11" s="66">
        <v>6.34</v>
      </c>
      <c r="N11" s="66">
        <v>85.65</v>
      </c>
      <c r="O11" s="66">
        <v>62.4</v>
      </c>
      <c r="P11" s="65" t="s">
        <v>208</v>
      </c>
      <c r="Q11" s="66">
        <v>140.72999999999999</v>
      </c>
      <c r="R11" s="66">
        <v>88.35</v>
      </c>
      <c r="S11" s="66">
        <v>85.22</v>
      </c>
    </row>
    <row r="12" spans="1:19" x14ac:dyDescent="0.35">
      <c r="A12" s="76">
        <v>45659</v>
      </c>
      <c r="B12" s="65" t="s">
        <v>209</v>
      </c>
      <c r="C12" s="66">
        <v>92.91</v>
      </c>
      <c r="D12" s="66">
        <v>101.09</v>
      </c>
      <c r="E12" s="66">
        <v>113.18</v>
      </c>
      <c r="F12" s="66">
        <v>82.76</v>
      </c>
      <c r="G12" s="66">
        <v>81.66</v>
      </c>
      <c r="H12" s="66">
        <v>107.69</v>
      </c>
      <c r="I12" s="66">
        <v>132.28</v>
      </c>
      <c r="J12" s="66">
        <v>83.18</v>
      </c>
      <c r="K12" s="66">
        <v>117.71</v>
      </c>
      <c r="L12" s="66">
        <v>81.47</v>
      </c>
      <c r="M12" s="66">
        <v>80.53</v>
      </c>
      <c r="N12" s="66">
        <v>124.64</v>
      </c>
      <c r="O12" s="66">
        <v>106.88</v>
      </c>
      <c r="P12" s="65" t="s">
        <v>208</v>
      </c>
      <c r="Q12" s="66">
        <v>139.33000000000001</v>
      </c>
      <c r="R12" s="66">
        <v>115.06</v>
      </c>
      <c r="S12" s="66">
        <v>115.79</v>
      </c>
    </row>
    <row r="13" spans="1:19" x14ac:dyDescent="0.35">
      <c r="A13" s="76">
        <v>45660</v>
      </c>
      <c r="B13" s="65" t="s">
        <v>210</v>
      </c>
      <c r="C13" s="66">
        <v>89.94</v>
      </c>
      <c r="D13" s="66">
        <v>95.5</v>
      </c>
      <c r="E13" s="66">
        <v>120.11</v>
      </c>
      <c r="F13" s="66">
        <v>64.33</v>
      </c>
      <c r="G13" s="66">
        <v>64.650000000000006</v>
      </c>
      <c r="H13" s="66">
        <v>115.69</v>
      </c>
      <c r="I13" s="66">
        <v>114.81</v>
      </c>
      <c r="J13" s="66">
        <v>62.29</v>
      </c>
      <c r="K13" s="66">
        <v>115.08</v>
      </c>
      <c r="L13" s="66">
        <v>87.35</v>
      </c>
      <c r="M13" s="66">
        <v>64.88</v>
      </c>
      <c r="N13" s="66">
        <v>125.28</v>
      </c>
      <c r="O13" s="66">
        <v>115.98</v>
      </c>
      <c r="P13" s="65" t="s">
        <v>208</v>
      </c>
      <c r="Q13" s="66">
        <v>126.45</v>
      </c>
      <c r="R13" s="66">
        <v>118.06</v>
      </c>
      <c r="S13" s="66">
        <v>123.12</v>
      </c>
    </row>
    <row r="14" spans="1:19" x14ac:dyDescent="0.35">
      <c r="A14" s="76">
        <v>45661</v>
      </c>
      <c r="B14" s="65" t="s">
        <v>211</v>
      </c>
      <c r="C14" s="66">
        <v>120.79</v>
      </c>
      <c r="D14" s="66">
        <v>116.65</v>
      </c>
      <c r="E14" s="66">
        <v>122.43</v>
      </c>
      <c r="F14" s="66">
        <v>120.79</v>
      </c>
      <c r="G14" s="66">
        <v>119.21</v>
      </c>
      <c r="H14" s="66">
        <v>121.74</v>
      </c>
      <c r="I14" s="66">
        <v>125.37</v>
      </c>
      <c r="J14" s="66">
        <v>93.24</v>
      </c>
      <c r="K14" s="66">
        <v>124.05</v>
      </c>
      <c r="L14" s="66">
        <v>115.46</v>
      </c>
      <c r="M14" s="66">
        <v>91.06</v>
      </c>
      <c r="N14" s="66">
        <v>127.64</v>
      </c>
      <c r="O14" s="66">
        <v>122.1</v>
      </c>
      <c r="P14" s="65" t="s">
        <v>208</v>
      </c>
      <c r="Q14" s="66">
        <v>145.38</v>
      </c>
      <c r="R14" s="66">
        <v>127.64</v>
      </c>
      <c r="S14" s="66">
        <v>138.75</v>
      </c>
    </row>
    <row r="15" spans="1:19" x14ac:dyDescent="0.35">
      <c r="A15" s="76">
        <v>45662</v>
      </c>
      <c r="B15" s="65" t="s">
        <v>212</v>
      </c>
      <c r="C15" s="66">
        <v>72.239999999999995</v>
      </c>
      <c r="D15" s="66">
        <v>81.150000000000006</v>
      </c>
      <c r="E15" s="66">
        <v>56.89</v>
      </c>
      <c r="F15" s="66">
        <v>71.87</v>
      </c>
      <c r="G15" s="66">
        <v>72.39</v>
      </c>
      <c r="H15" s="66">
        <v>47.95</v>
      </c>
      <c r="I15" s="66">
        <v>65.680000000000007</v>
      </c>
      <c r="J15" s="66">
        <v>56.44</v>
      </c>
      <c r="K15" s="66">
        <v>125.98</v>
      </c>
      <c r="L15" s="66">
        <v>95.92</v>
      </c>
      <c r="M15" s="66">
        <v>63.45</v>
      </c>
      <c r="N15" s="66">
        <v>123.25</v>
      </c>
      <c r="O15" s="66">
        <v>112.78</v>
      </c>
      <c r="P15" s="65" t="s">
        <v>208</v>
      </c>
      <c r="Q15" s="66">
        <v>143.94</v>
      </c>
      <c r="R15" s="66">
        <v>107.95</v>
      </c>
      <c r="S15" s="66">
        <v>121.89</v>
      </c>
    </row>
    <row r="16" spans="1:19" x14ac:dyDescent="0.35">
      <c r="A16" s="76">
        <v>45663</v>
      </c>
      <c r="B16" s="65" t="s">
        <v>213</v>
      </c>
      <c r="C16" s="66">
        <v>25.16</v>
      </c>
      <c r="D16" s="66">
        <v>57.97</v>
      </c>
      <c r="E16" s="66">
        <v>39.659999999999997</v>
      </c>
      <c r="F16" s="66">
        <v>24.58</v>
      </c>
      <c r="G16" s="66">
        <v>25.35</v>
      </c>
      <c r="H16" s="66">
        <v>35.44</v>
      </c>
      <c r="I16" s="66">
        <v>54.85</v>
      </c>
      <c r="J16" s="66">
        <v>29.62</v>
      </c>
      <c r="K16" s="66">
        <v>105.2</v>
      </c>
      <c r="L16" s="66">
        <v>59.47</v>
      </c>
      <c r="M16" s="66">
        <v>25.13</v>
      </c>
      <c r="N16" s="66">
        <v>123.9</v>
      </c>
      <c r="O16" s="66">
        <v>114.48</v>
      </c>
      <c r="P16" s="65" t="s">
        <v>208</v>
      </c>
      <c r="Q16" s="66">
        <v>136.43</v>
      </c>
      <c r="R16" s="66">
        <v>100.63</v>
      </c>
      <c r="S16" s="66">
        <v>119.02</v>
      </c>
    </row>
    <row r="17" spans="1:19" x14ac:dyDescent="0.35">
      <c r="A17" s="76">
        <v>45664</v>
      </c>
      <c r="B17" s="65" t="s">
        <v>214</v>
      </c>
      <c r="C17" s="66">
        <v>58.29</v>
      </c>
      <c r="D17" s="66">
        <v>70.81</v>
      </c>
      <c r="E17" s="66">
        <v>78.040000000000006</v>
      </c>
      <c r="F17" s="66">
        <v>27.12</v>
      </c>
      <c r="G17" s="66">
        <v>25.34</v>
      </c>
      <c r="H17" s="66">
        <v>74.260000000000005</v>
      </c>
      <c r="I17" s="66">
        <v>82.19</v>
      </c>
      <c r="J17" s="66">
        <v>31.61</v>
      </c>
      <c r="K17" s="66">
        <v>109.57</v>
      </c>
      <c r="L17" s="66">
        <v>83.44</v>
      </c>
      <c r="M17" s="66">
        <v>23.04</v>
      </c>
      <c r="N17" s="66">
        <v>130.38999999999999</v>
      </c>
      <c r="O17" s="66">
        <v>113.91</v>
      </c>
      <c r="P17" s="65" t="s">
        <v>208</v>
      </c>
      <c r="Q17" s="66">
        <v>143.78</v>
      </c>
      <c r="R17" s="66">
        <v>110.68</v>
      </c>
      <c r="S17" s="66">
        <v>121.21</v>
      </c>
    </row>
    <row r="18" spans="1:19" x14ac:dyDescent="0.35">
      <c r="A18" s="76">
        <v>45665</v>
      </c>
      <c r="B18" s="65" t="s">
        <v>215</v>
      </c>
      <c r="C18" s="66">
        <v>104.53</v>
      </c>
      <c r="D18" s="66">
        <v>98.29</v>
      </c>
      <c r="E18" s="66">
        <v>110.14</v>
      </c>
      <c r="F18" s="66">
        <v>75.45</v>
      </c>
      <c r="G18" s="66">
        <v>70.53</v>
      </c>
      <c r="H18" s="66">
        <v>104.33</v>
      </c>
      <c r="I18" s="66">
        <v>107.64</v>
      </c>
      <c r="J18" s="66">
        <v>71.180000000000007</v>
      </c>
      <c r="K18" s="66">
        <v>120.14</v>
      </c>
      <c r="L18" s="66">
        <v>106.97</v>
      </c>
      <c r="M18" s="66">
        <v>69.48</v>
      </c>
      <c r="N18" s="66">
        <v>128.6</v>
      </c>
      <c r="O18" s="66">
        <v>116.75</v>
      </c>
      <c r="P18" s="65" t="s">
        <v>208</v>
      </c>
      <c r="Q18" s="66">
        <v>133.21</v>
      </c>
      <c r="R18" s="66">
        <v>117.81</v>
      </c>
      <c r="S18" s="66">
        <v>119.34</v>
      </c>
    </row>
    <row r="19" spans="1:19" x14ac:dyDescent="0.35">
      <c r="A19" s="76">
        <v>45666</v>
      </c>
      <c r="B19" s="65" t="s">
        <v>216</v>
      </c>
      <c r="C19" s="66">
        <v>121.53</v>
      </c>
      <c r="D19" s="66">
        <v>113.32</v>
      </c>
      <c r="E19" s="66">
        <v>106.39</v>
      </c>
      <c r="F19" s="66">
        <v>121.97</v>
      </c>
      <c r="G19" s="66">
        <v>120.86</v>
      </c>
      <c r="H19" s="66">
        <v>85.61</v>
      </c>
      <c r="I19" s="66">
        <v>115.21</v>
      </c>
      <c r="J19" s="66">
        <v>98.25</v>
      </c>
      <c r="K19" s="66">
        <v>122.6</v>
      </c>
      <c r="L19" s="66">
        <v>123.15</v>
      </c>
      <c r="M19" s="66">
        <v>101.78</v>
      </c>
      <c r="N19" s="66">
        <v>129.43</v>
      </c>
      <c r="O19" s="66">
        <v>121.24</v>
      </c>
      <c r="P19" s="65" t="s">
        <v>208</v>
      </c>
      <c r="Q19" s="66">
        <v>133.77000000000001</v>
      </c>
      <c r="R19" s="66">
        <v>123.5</v>
      </c>
      <c r="S19" s="66">
        <v>127.64</v>
      </c>
    </row>
    <row r="20" spans="1:19" x14ac:dyDescent="0.35">
      <c r="A20" s="76">
        <v>45667</v>
      </c>
      <c r="B20" s="65" t="s">
        <v>217</v>
      </c>
      <c r="C20" s="66">
        <v>112.43</v>
      </c>
      <c r="D20" s="66">
        <v>108.62</v>
      </c>
      <c r="E20" s="66">
        <v>112.8</v>
      </c>
      <c r="F20" s="66">
        <v>111.42</v>
      </c>
      <c r="G20" s="66">
        <v>106.99</v>
      </c>
      <c r="H20" s="66">
        <v>112.96</v>
      </c>
      <c r="I20" s="66">
        <v>112.73</v>
      </c>
      <c r="J20" s="66">
        <v>88.92</v>
      </c>
      <c r="K20" s="66">
        <v>114.36</v>
      </c>
      <c r="L20" s="66">
        <v>109.4</v>
      </c>
      <c r="M20" s="66">
        <v>90.94</v>
      </c>
      <c r="N20" s="66">
        <v>121.92</v>
      </c>
      <c r="O20" s="66">
        <v>112.33</v>
      </c>
      <c r="P20" s="65" t="s">
        <v>208</v>
      </c>
      <c r="Q20" s="66">
        <v>131.1</v>
      </c>
      <c r="R20" s="66">
        <v>116.86</v>
      </c>
      <c r="S20" s="66">
        <v>120.72</v>
      </c>
    </row>
    <row r="21" spans="1:19" x14ac:dyDescent="0.35">
      <c r="A21" s="76">
        <v>45668</v>
      </c>
      <c r="B21" s="65" t="s">
        <v>218</v>
      </c>
      <c r="C21" s="66">
        <v>101.89</v>
      </c>
      <c r="D21" s="66">
        <v>89.78</v>
      </c>
      <c r="E21" s="66">
        <v>108.89</v>
      </c>
      <c r="F21" s="66">
        <v>98.65</v>
      </c>
      <c r="G21" s="66">
        <v>64.260000000000005</v>
      </c>
      <c r="H21" s="66">
        <v>106.69</v>
      </c>
      <c r="I21" s="66">
        <v>112.65</v>
      </c>
      <c r="J21" s="66">
        <v>36.81</v>
      </c>
      <c r="K21" s="66">
        <v>106.1</v>
      </c>
      <c r="L21" s="66">
        <v>98.8</v>
      </c>
      <c r="M21" s="66">
        <v>35.700000000000003</v>
      </c>
      <c r="N21" s="66">
        <v>116.06</v>
      </c>
      <c r="O21" s="66">
        <v>102.93</v>
      </c>
      <c r="P21" s="65" t="s">
        <v>208</v>
      </c>
      <c r="Q21" s="66">
        <v>126.85</v>
      </c>
      <c r="R21" s="66">
        <v>107.42</v>
      </c>
      <c r="S21" s="66">
        <v>112.23</v>
      </c>
    </row>
    <row r="22" spans="1:19" x14ac:dyDescent="0.35">
      <c r="A22" s="76">
        <v>45669</v>
      </c>
      <c r="B22" s="65" t="s">
        <v>219</v>
      </c>
      <c r="C22" s="66">
        <v>110.07</v>
      </c>
      <c r="D22" s="66">
        <v>103.11</v>
      </c>
      <c r="E22" s="66">
        <v>112.49</v>
      </c>
      <c r="F22" s="66">
        <v>110.07</v>
      </c>
      <c r="G22" s="66">
        <v>98.52</v>
      </c>
      <c r="H22" s="66">
        <v>108.26</v>
      </c>
      <c r="I22" s="66">
        <v>114.67</v>
      </c>
      <c r="J22" s="66">
        <v>71.36</v>
      </c>
      <c r="K22" s="66">
        <v>111.42</v>
      </c>
      <c r="L22" s="66">
        <v>109.84</v>
      </c>
      <c r="M22" s="66">
        <v>73.03</v>
      </c>
      <c r="N22" s="66">
        <v>113.71</v>
      </c>
      <c r="O22" s="66">
        <v>110.84</v>
      </c>
      <c r="P22" s="65" t="s">
        <v>208</v>
      </c>
      <c r="Q22" s="66">
        <v>113.35</v>
      </c>
      <c r="R22" s="66">
        <v>111.59</v>
      </c>
      <c r="S22" s="66">
        <v>111.71</v>
      </c>
    </row>
    <row r="23" spans="1:19" x14ac:dyDescent="0.35">
      <c r="A23" s="76">
        <v>45670</v>
      </c>
      <c r="B23" s="65" t="s">
        <v>220</v>
      </c>
      <c r="C23" s="66">
        <v>129.19999999999999</v>
      </c>
      <c r="D23" s="66">
        <v>105.21</v>
      </c>
      <c r="E23" s="66">
        <v>128.27000000000001</v>
      </c>
      <c r="F23" s="66">
        <v>72.849999999999994</v>
      </c>
      <c r="G23" s="66">
        <v>97.56</v>
      </c>
      <c r="H23" s="66">
        <v>125.25</v>
      </c>
      <c r="I23" s="66">
        <v>125.87</v>
      </c>
      <c r="J23" s="66">
        <v>38.979999999999997</v>
      </c>
      <c r="K23" s="66">
        <v>132.6</v>
      </c>
      <c r="L23" s="66">
        <v>134.69</v>
      </c>
      <c r="M23" s="66">
        <v>36.020000000000003</v>
      </c>
      <c r="N23" s="66">
        <v>134.93</v>
      </c>
      <c r="O23" s="66">
        <v>130.27000000000001</v>
      </c>
      <c r="P23" s="65" t="s">
        <v>208</v>
      </c>
      <c r="Q23" s="66">
        <v>135.22999999999999</v>
      </c>
      <c r="R23" s="66">
        <v>133.82</v>
      </c>
      <c r="S23" s="66">
        <v>136.22</v>
      </c>
    </row>
    <row r="24" spans="1:19" x14ac:dyDescent="0.35">
      <c r="A24" s="76">
        <v>45671</v>
      </c>
      <c r="B24" s="65" t="s">
        <v>221</v>
      </c>
      <c r="C24" s="66">
        <v>126.82</v>
      </c>
      <c r="D24" s="66">
        <v>99.17</v>
      </c>
      <c r="E24" s="66">
        <v>136.1</v>
      </c>
      <c r="F24" s="66">
        <v>55.82</v>
      </c>
      <c r="G24" s="66">
        <v>51.75</v>
      </c>
      <c r="H24" s="66">
        <v>136.72</v>
      </c>
      <c r="I24" s="66">
        <v>117.65</v>
      </c>
      <c r="J24" s="66">
        <v>33.57</v>
      </c>
      <c r="K24" s="66">
        <v>138.88999999999999</v>
      </c>
      <c r="L24" s="66">
        <v>126.16</v>
      </c>
      <c r="M24" s="66">
        <v>22.44</v>
      </c>
      <c r="N24" s="66">
        <v>146.06</v>
      </c>
      <c r="O24" s="66">
        <v>125.69</v>
      </c>
      <c r="P24" s="65" t="s">
        <v>208</v>
      </c>
      <c r="Q24" s="66">
        <v>143.19</v>
      </c>
      <c r="R24" s="66">
        <v>142.80000000000001</v>
      </c>
      <c r="S24" s="66">
        <v>153</v>
      </c>
    </row>
    <row r="25" spans="1:19" x14ac:dyDescent="0.35">
      <c r="A25" s="76">
        <v>45672</v>
      </c>
      <c r="B25" s="65" t="s">
        <v>222</v>
      </c>
      <c r="C25" s="66">
        <v>222.18</v>
      </c>
      <c r="D25" s="66">
        <v>177.12</v>
      </c>
      <c r="E25" s="66">
        <v>185.49</v>
      </c>
      <c r="F25" s="66">
        <v>199.65</v>
      </c>
      <c r="G25" s="66">
        <v>212.45</v>
      </c>
      <c r="H25" s="66">
        <v>160.57</v>
      </c>
      <c r="I25" s="66">
        <v>206.89</v>
      </c>
      <c r="J25" s="66">
        <v>66.33</v>
      </c>
      <c r="K25" s="66">
        <v>216.76</v>
      </c>
      <c r="L25" s="66">
        <v>199.5</v>
      </c>
      <c r="M25" s="66">
        <v>121.09</v>
      </c>
      <c r="N25" s="66">
        <v>162.91</v>
      </c>
      <c r="O25" s="66">
        <v>216.65</v>
      </c>
      <c r="P25" s="65" t="s">
        <v>208</v>
      </c>
      <c r="Q25" s="66">
        <v>172.51</v>
      </c>
      <c r="R25" s="66">
        <v>216.51</v>
      </c>
      <c r="S25" s="66">
        <v>225.17</v>
      </c>
    </row>
    <row r="26" spans="1:19" x14ac:dyDescent="0.35">
      <c r="A26" s="76">
        <v>45673</v>
      </c>
      <c r="B26" s="65" t="s">
        <v>223</v>
      </c>
      <c r="C26" s="66">
        <v>148.1</v>
      </c>
      <c r="D26" s="66">
        <v>120.28</v>
      </c>
      <c r="E26" s="66">
        <v>141.85</v>
      </c>
      <c r="F26" s="66">
        <v>97.81</v>
      </c>
      <c r="G26" s="66">
        <v>123.62</v>
      </c>
      <c r="H26" s="66">
        <v>139.88</v>
      </c>
      <c r="I26" s="66">
        <v>145.08000000000001</v>
      </c>
      <c r="J26" s="66">
        <v>44.85</v>
      </c>
      <c r="K26" s="66">
        <v>151.07</v>
      </c>
      <c r="L26" s="66">
        <v>143.88999999999999</v>
      </c>
      <c r="M26" s="66">
        <v>33.26</v>
      </c>
      <c r="N26" s="66">
        <v>155.08000000000001</v>
      </c>
      <c r="O26" s="66">
        <v>146.69999999999999</v>
      </c>
      <c r="P26" s="65" t="s">
        <v>208</v>
      </c>
      <c r="Q26" s="66">
        <v>152.07</v>
      </c>
      <c r="R26" s="66">
        <v>152.04</v>
      </c>
      <c r="S26" s="66">
        <v>154.69999999999999</v>
      </c>
    </row>
    <row r="27" spans="1:19" x14ac:dyDescent="0.35">
      <c r="A27" s="76">
        <v>45674</v>
      </c>
      <c r="B27" s="65" t="s">
        <v>224</v>
      </c>
      <c r="C27" s="66">
        <v>146.32</v>
      </c>
      <c r="D27" s="66">
        <v>117.64</v>
      </c>
      <c r="E27" s="66">
        <v>142.41</v>
      </c>
      <c r="F27" s="66">
        <v>95.85</v>
      </c>
      <c r="G27" s="66">
        <v>124.51</v>
      </c>
      <c r="H27" s="66">
        <v>142.84</v>
      </c>
      <c r="I27" s="66">
        <v>143.02000000000001</v>
      </c>
      <c r="J27" s="66">
        <v>38.44</v>
      </c>
      <c r="K27" s="66">
        <v>147.59</v>
      </c>
      <c r="L27" s="66">
        <v>142.51</v>
      </c>
      <c r="M27" s="66">
        <v>23.45</v>
      </c>
      <c r="N27" s="66">
        <v>146.85</v>
      </c>
      <c r="O27" s="66">
        <v>146.52000000000001</v>
      </c>
      <c r="P27" s="65" t="s">
        <v>208</v>
      </c>
      <c r="Q27" s="66">
        <v>146.72</v>
      </c>
      <c r="R27" s="66">
        <v>147.49</v>
      </c>
      <c r="S27" s="66">
        <v>147.29</v>
      </c>
    </row>
    <row r="28" spans="1:19" x14ac:dyDescent="0.35">
      <c r="A28" s="76">
        <v>45675</v>
      </c>
      <c r="B28" s="65" t="s">
        <v>225</v>
      </c>
      <c r="C28" s="66">
        <v>134.15</v>
      </c>
      <c r="D28" s="66">
        <v>115.78</v>
      </c>
      <c r="E28" s="66">
        <v>132.69</v>
      </c>
      <c r="F28" s="66">
        <v>132.65</v>
      </c>
      <c r="G28" s="66">
        <v>133.46</v>
      </c>
      <c r="H28" s="66">
        <v>131.34</v>
      </c>
      <c r="I28" s="66">
        <v>133.75</v>
      </c>
      <c r="J28" s="66">
        <v>40.57</v>
      </c>
      <c r="K28" s="66">
        <v>135</v>
      </c>
      <c r="L28" s="66">
        <v>132.80000000000001</v>
      </c>
      <c r="M28" s="66">
        <v>32.89</v>
      </c>
      <c r="N28" s="66">
        <v>134.43</v>
      </c>
      <c r="O28" s="66">
        <v>134.03</v>
      </c>
      <c r="P28" s="65" t="s">
        <v>208</v>
      </c>
      <c r="Q28" s="66">
        <v>140.55000000000001</v>
      </c>
      <c r="R28" s="66">
        <v>135.33000000000001</v>
      </c>
      <c r="S28" s="66">
        <v>136.32</v>
      </c>
    </row>
    <row r="29" spans="1:19" x14ac:dyDescent="0.35">
      <c r="A29" s="76">
        <v>45676</v>
      </c>
      <c r="B29" s="65" t="s">
        <v>226</v>
      </c>
      <c r="C29" s="66">
        <v>128.72</v>
      </c>
      <c r="D29" s="66">
        <v>115.97</v>
      </c>
      <c r="E29" s="66">
        <v>128.44999999999999</v>
      </c>
      <c r="F29" s="66">
        <v>128.72</v>
      </c>
      <c r="G29" s="66">
        <v>128.72</v>
      </c>
      <c r="H29" s="66">
        <v>127.34</v>
      </c>
      <c r="I29" s="66">
        <v>128.56</v>
      </c>
      <c r="J29" s="66">
        <v>59.54</v>
      </c>
      <c r="K29" s="66">
        <v>130.79</v>
      </c>
      <c r="L29" s="66">
        <v>126.65</v>
      </c>
      <c r="M29" s="66">
        <v>55.97</v>
      </c>
      <c r="N29" s="66">
        <v>132.33000000000001</v>
      </c>
      <c r="O29" s="66">
        <v>128.55000000000001</v>
      </c>
      <c r="P29" s="65" t="s">
        <v>208</v>
      </c>
      <c r="Q29" s="66">
        <v>144.62</v>
      </c>
      <c r="R29" s="66">
        <v>131.58000000000001</v>
      </c>
      <c r="S29" s="66">
        <v>133.19999999999999</v>
      </c>
    </row>
    <row r="30" spans="1:19" x14ac:dyDescent="0.35">
      <c r="A30" s="76">
        <v>45677</v>
      </c>
      <c r="B30" s="65" t="s">
        <v>227</v>
      </c>
      <c r="C30" s="66">
        <v>231.36</v>
      </c>
      <c r="D30" s="66">
        <v>204.24</v>
      </c>
      <c r="E30" s="66">
        <v>209.65</v>
      </c>
      <c r="F30" s="66">
        <v>231.39</v>
      </c>
      <c r="G30" s="66">
        <v>231.35</v>
      </c>
      <c r="H30" s="66">
        <v>196.71</v>
      </c>
      <c r="I30" s="66">
        <v>224.79</v>
      </c>
      <c r="J30" s="66">
        <v>188.74</v>
      </c>
      <c r="K30" s="66">
        <v>229.58</v>
      </c>
      <c r="L30" s="66">
        <v>144.35</v>
      </c>
      <c r="M30" s="66">
        <v>178.87</v>
      </c>
      <c r="N30" s="66">
        <v>181.29</v>
      </c>
      <c r="O30" s="66">
        <v>229.93</v>
      </c>
      <c r="P30" s="65" t="s">
        <v>208</v>
      </c>
      <c r="Q30" s="66">
        <v>193.93</v>
      </c>
      <c r="R30" s="66">
        <v>231.09</v>
      </c>
      <c r="S30" s="66">
        <v>237.88</v>
      </c>
    </row>
    <row r="31" spans="1:19" x14ac:dyDescent="0.35">
      <c r="A31" s="76">
        <v>45678</v>
      </c>
      <c r="B31" s="65" t="s">
        <v>228</v>
      </c>
      <c r="C31" s="66">
        <v>168.46</v>
      </c>
      <c r="D31" s="66">
        <v>159.63</v>
      </c>
      <c r="E31" s="66">
        <v>163.06</v>
      </c>
      <c r="F31" s="66">
        <v>161.27000000000001</v>
      </c>
      <c r="G31" s="66">
        <v>168.01</v>
      </c>
      <c r="H31" s="66">
        <v>159.9</v>
      </c>
      <c r="I31" s="66">
        <v>163.66999999999999</v>
      </c>
      <c r="J31" s="66">
        <v>129.11000000000001</v>
      </c>
      <c r="K31" s="66">
        <v>182.13</v>
      </c>
      <c r="L31" s="66">
        <v>153.31</v>
      </c>
      <c r="M31" s="66">
        <v>152.91</v>
      </c>
      <c r="N31" s="66">
        <v>168.78</v>
      </c>
      <c r="O31" s="66">
        <v>153.78</v>
      </c>
      <c r="P31" s="65" t="s">
        <v>208</v>
      </c>
      <c r="Q31" s="66">
        <v>164.46</v>
      </c>
      <c r="R31" s="66">
        <v>196.93</v>
      </c>
      <c r="S31" s="66">
        <v>215.06</v>
      </c>
    </row>
    <row r="32" spans="1:19" x14ac:dyDescent="0.35">
      <c r="A32" s="76">
        <v>45679</v>
      </c>
      <c r="B32" s="65" t="s">
        <v>229</v>
      </c>
      <c r="C32" s="66">
        <v>161.44999999999999</v>
      </c>
      <c r="D32" s="66">
        <v>150.68</v>
      </c>
      <c r="E32" s="66">
        <v>152.53</v>
      </c>
      <c r="F32" s="66">
        <v>154.28</v>
      </c>
      <c r="G32" s="66">
        <v>159.94999999999999</v>
      </c>
      <c r="H32" s="66">
        <v>146.94999999999999</v>
      </c>
      <c r="I32" s="66">
        <v>158.13999999999999</v>
      </c>
      <c r="J32" s="66">
        <v>132.62</v>
      </c>
      <c r="K32" s="66">
        <v>169.18</v>
      </c>
      <c r="L32" s="66">
        <v>135.76</v>
      </c>
      <c r="M32" s="66">
        <v>132.66</v>
      </c>
      <c r="N32" s="66">
        <v>162.5</v>
      </c>
      <c r="O32" s="66">
        <v>152.96</v>
      </c>
      <c r="P32" s="65" t="s">
        <v>208</v>
      </c>
      <c r="Q32" s="66">
        <v>160.41</v>
      </c>
      <c r="R32" s="66">
        <v>179.18</v>
      </c>
      <c r="S32" s="66">
        <v>188.91</v>
      </c>
    </row>
    <row r="33" spans="1:19" x14ac:dyDescent="0.35">
      <c r="A33" s="76">
        <v>45680</v>
      </c>
      <c r="B33" s="65" t="s">
        <v>230</v>
      </c>
      <c r="C33" s="66">
        <v>103.94</v>
      </c>
      <c r="D33" s="66">
        <v>108</v>
      </c>
      <c r="E33" s="66">
        <v>108.42</v>
      </c>
      <c r="F33" s="66">
        <v>96.19</v>
      </c>
      <c r="G33" s="66">
        <v>83.46</v>
      </c>
      <c r="H33" s="66">
        <v>110.33</v>
      </c>
      <c r="I33" s="66">
        <v>104.39</v>
      </c>
      <c r="J33" s="66">
        <v>73.37</v>
      </c>
      <c r="K33" s="66">
        <v>142.66999999999999</v>
      </c>
      <c r="L33" s="66">
        <v>111.98</v>
      </c>
      <c r="M33" s="66">
        <v>74.680000000000007</v>
      </c>
      <c r="N33" s="66">
        <v>149.15</v>
      </c>
      <c r="O33" s="66">
        <v>133.33000000000001</v>
      </c>
      <c r="P33" s="65" t="s">
        <v>208</v>
      </c>
      <c r="Q33" s="66">
        <v>146.1</v>
      </c>
      <c r="R33" s="66">
        <v>149.68</v>
      </c>
      <c r="S33" s="66">
        <v>167.45</v>
      </c>
    </row>
    <row r="34" spans="1:19" x14ac:dyDescent="0.35">
      <c r="A34" s="76">
        <v>45681</v>
      </c>
      <c r="B34" s="65" t="s">
        <v>231</v>
      </c>
      <c r="C34" s="66">
        <v>78.900000000000006</v>
      </c>
      <c r="D34" s="66">
        <v>81.34</v>
      </c>
      <c r="E34" s="66">
        <v>79.099999999999994</v>
      </c>
      <c r="F34" s="66">
        <v>34.93</v>
      </c>
      <c r="G34" s="66">
        <v>43.65</v>
      </c>
      <c r="H34" s="66">
        <v>78.040000000000006</v>
      </c>
      <c r="I34" s="66">
        <v>79.39</v>
      </c>
      <c r="J34" s="66">
        <v>39.729999999999997</v>
      </c>
      <c r="K34" s="66">
        <v>134.19</v>
      </c>
      <c r="L34" s="66">
        <v>105.88</v>
      </c>
      <c r="M34" s="66">
        <v>32.1</v>
      </c>
      <c r="N34" s="66">
        <v>140.30000000000001</v>
      </c>
      <c r="O34" s="66">
        <v>127.45</v>
      </c>
      <c r="P34" s="65" t="s">
        <v>208</v>
      </c>
      <c r="Q34" s="66">
        <v>146.08000000000001</v>
      </c>
      <c r="R34" s="66">
        <v>139.33000000000001</v>
      </c>
      <c r="S34" s="66">
        <v>155.01</v>
      </c>
    </row>
    <row r="35" spans="1:19" x14ac:dyDescent="0.35">
      <c r="A35" s="76">
        <v>45682</v>
      </c>
      <c r="B35" s="65" t="s">
        <v>232</v>
      </c>
      <c r="C35" s="66">
        <v>99.33</v>
      </c>
      <c r="D35" s="66">
        <v>84.11</v>
      </c>
      <c r="E35" s="66">
        <v>91.74</v>
      </c>
      <c r="F35" s="66">
        <v>78.73</v>
      </c>
      <c r="G35" s="66">
        <v>83.28</v>
      </c>
      <c r="H35" s="66">
        <v>61.44</v>
      </c>
      <c r="I35" s="66">
        <v>98.09</v>
      </c>
      <c r="J35" s="66">
        <v>31.44</v>
      </c>
      <c r="K35" s="66">
        <v>119.4</v>
      </c>
      <c r="L35" s="66">
        <v>104.19</v>
      </c>
      <c r="M35" s="66">
        <v>15.4</v>
      </c>
      <c r="N35" s="66">
        <v>136.25</v>
      </c>
      <c r="O35" s="66">
        <v>105.21</v>
      </c>
      <c r="P35" s="65" t="s">
        <v>208</v>
      </c>
      <c r="Q35" s="66">
        <v>138.96</v>
      </c>
      <c r="R35" s="66">
        <v>116.36</v>
      </c>
      <c r="S35" s="66">
        <v>117.41</v>
      </c>
    </row>
    <row r="36" spans="1:19" x14ac:dyDescent="0.35">
      <c r="A36" s="76">
        <v>45683</v>
      </c>
      <c r="B36" s="65" t="s">
        <v>233</v>
      </c>
      <c r="C36" s="66">
        <v>101.46</v>
      </c>
      <c r="D36" s="66">
        <v>86.6</v>
      </c>
      <c r="E36" s="66">
        <v>83.85</v>
      </c>
      <c r="F36" s="66">
        <v>97.78</v>
      </c>
      <c r="G36" s="66">
        <v>100.46</v>
      </c>
      <c r="H36" s="66">
        <v>38.43</v>
      </c>
      <c r="I36" s="66">
        <v>90.78</v>
      </c>
      <c r="J36" s="66">
        <v>35.76</v>
      </c>
      <c r="K36" s="66">
        <v>121.54</v>
      </c>
      <c r="L36" s="66">
        <v>111.3</v>
      </c>
      <c r="M36" s="66">
        <v>29.89</v>
      </c>
      <c r="N36" s="66">
        <v>131.71</v>
      </c>
      <c r="O36" s="66">
        <v>111.12</v>
      </c>
      <c r="P36" s="65" t="s">
        <v>208</v>
      </c>
      <c r="Q36" s="66">
        <v>130.06</v>
      </c>
      <c r="R36" s="66">
        <v>117.73</v>
      </c>
      <c r="S36" s="66">
        <v>116.08</v>
      </c>
    </row>
    <row r="37" spans="1:19" x14ac:dyDescent="0.35">
      <c r="A37" s="76">
        <v>45684</v>
      </c>
      <c r="B37" s="65" t="s">
        <v>234</v>
      </c>
      <c r="C37" s="66">
        <v>60.17</v>
      </c>
      <c r="D37" s="66">
        <v>69.290000000000006</v>
      </c>
      <c r="E37" s="66">
        <v>52.51</v>
      </c>
      <c r="F37" s="66">
        <v>38.99</v>
      </c>
      <c r="G37" s="66">
        <v>48.21</v>
      </c>
      <c r="H37" s="66">
        <v>28.94</v>
      </c>
      <c r="I37" s="66">
        <v>54.62</v>
      </c>
      <c r="J37" s="66">
        <v>34</v>
      </c>
      <c r="K37" s="66">
        <v>111.94</v>
      </c>
      <c r="L37" s="66">
        <v>92.78</v>
      </c>
      <c r="M37" s="66">
        <v>38.15</v>
      </c>
      <c r="N37" s="66">
        <v>137.66999999999999</v>
      </c>
      <c r="O37" s="66">
        <v>124.43</v>
      </c>
      <c r="P37" s="65" t="s">
        <v>208</v>
      </c>
      <c r="Q37" s="66">
        <v>144.32</v>
      </c>
      <c r="R37" s="66">
        <v>116.26</v>
      </c>
      <c r="S37" s="66">
        <v>124.43</v>
      </c>
    </row>
    <row r="38" spans="1:19" x14ac:dyDescent="0.35">
      <c r="A38" s="76">
        <v>45685</v>
      </c>
      <c r="B38" s="65" t="s">
        <v>235</v>
      </c>
      <c r="C38" s="66">
        <v>106.37</v>
      </c>
      <c r="D38" s="66">
        <v>93.01</v>
      </c>
      <c r="E38" s="66">
        <v>68.64</v>
      </c>
      <c r="F38" s="66">
        <v>86.58</v>
      </c>
      <c r="G38" s="66">
        <v>99.57</v>
      </c>
      <c r="H38" s="66">
        <v>30.53</v>
      </c>
      <c r="I38" s="66">
        <v>89.18</v>
      </c>
      <c r="J38" s="66">
        <v>77.930000000000007</v>
      </c>
      <c r="K38" s="66">
        <v>122.87</v>
      </c>
      <c r="L38" s="66">
        <v>118.14</v>
      </c>
      <c r="M38" s="66">
        <v>79.45</v>
      </c>
      <c r="N38" s="66">
        <v>134.99</v>
      </c>
      <c r="O38" s="66">
        <v>115.21</v>
      </c>
      <c r="P38" s="65" t="s">
        <v>208</v>
      </c>
      <c r="Q38" s="66">
        <v>137.29</v>
      </c>
      <c r="R38" s="66">
        <v>120.22</v>
      </c>
      <c r="S38" s="66">
        <v>122.25</v>
      </c>
    </row>
    <row r="39" spans="1:19" x14ac:dyDescent="0.35">
      <c r="A39" s="76">
        <v>45686</v>
      </c>
      <c r="B39" s="65" t="s">
        <v>236</v>
      </c>
      <c r="C39" s="66">
        <v>108.13</v>
      </c>
      <c r="D39" s="66">
        <v>102.23</v>
      </c>
      <c r="E39" s="66">
        <v>98.39</v>
      </c>
      <c r="F39" s="66">
        <v>105.53</v>
      </c>
      <c r="G39" s="66">
        <v>104.88</v>
      </c>
      <c r="H39" s="66">
        <v>72.77</v>
      </c>
      <c r="I39" s="66">
        <v>104.72</v>
      </c>
      <c r="J39" s="66">
        <v>80.69</v>
      </c>
      <c r="K39" s="66">
        <v>119.17</v>
      </c>
      <c r="L39" s="66">
        <v>107.12</v>
      </c>
      <c r="M39" s="66">
        <v>86.79</v>
      </c>
      <c r="N39" s="66">
        <v>133.93</v>
      </c>
      <c r="O39" s="66">
        <v>110.52</v>
      </c>
      <c r="P39" s="65" t="s">
        <v>208</v>
      </c>
      <c r="Q39" s="66">
        <v>138.4</v>
      </c>
      <c r="R39" s="66">
        <v>121.21</v>
      </c>
      <c r="S39" s="66">
        <v>123.65</v>
      </c>
    </row>
    <row r="40" spans="1:19" x14ac:dyDescent="0.35">
      <c r="A40" s="76">
        <v>45687</v>
      </c>
      <c r="B40" s="65" t="s">
        <v>237</v>
      </c>
      <c r="C40" s="66">
        <v>131.53</v>
      </c>
      <c r="D40" s="66">
        <v>117.67</v>
      </c>
      <c r="E40" s="66">
        <v>128.30000000000001</v>
      </c>
      <c r="F40" s="66">
        <v>119.5</v>
      </c>
      <c r="G40" s="66">
        <v>115.91</v>
      </c>
      <c r="H40" s="66">
        <v>107.86</v>
      </c>
      <c r="I40" s="66">
        <v>134.18</v>
      </c>
      <c r="J40" s="66">
        <v>65.459999999999994</v>
      </c>
      <c r="K40" s="66">
        <v>133.53</v>
      </c>
      <c r="L40" s="66">
        <v>131.63999999999999</v>
      </c>
      <c r="M40" s="66">
        <v>81.349999999999994</v>
      </c>
      <c r="N40" s="66">
        <v>144.19</v>
      </c>
      <c r="O40" s="66">
        <v>132.43</v>
      </c>
      <c r="P40" s="65" t="s">
        <v>208</v>
      </c>
      <c r="Q40" s="66">
        <v>142.25</v>
      </c>
      <c r="R40" s="66">
        <v>133.49</v>
      </c>
      <c r="S40" s="66">
        <v>132.91999999999999</v>
      </c>
    </row>
    <row r="41" spans="1:19" x14ac:dyDescent="0.35">
      <c r="A41" s="76">
        <v>45688</v>
      </c>
      <c r="B41" s="65" t="s">
        <v>238</v>
      </c>
      <c r="C41" s="66">
        <v>141.02000000000001</v>
      </c>
      <c r="D41" s="66">
        <v>131.61000000000001</v>
      </c>
      <c r="E41" s="66">
        <v>137.33000000000001</v>
      </c>
      <c r="F41" s="66">
        <v>133.29</v>
      </c>
      <c r="G41" s="66">
        <v>137.02000000000001</v>
      </c>
      <c r="H41" s="66">
        <v>131.46</v>
      </c>
      <c r="I41" s="66">
        <v>139.63999999999999</v>
      </c>
      <c r="J41" s="66">
        <v>96.19</v>
      </c>
      <c r="K41" s="66">
        <v>141.94999999999999</v>
      </c>
      <c r="L41" s="66">
        <v>140.66999999999999</v>
      </c>
      <c r="M41" s="66">
        <v>101.61</v>
      </c>
      <c r="N41" s="66">
        <v>145.91</v>
      </c>
      <c r="O41" s="66">
        <v>142.66</v>
      </c>
      <c r="P41" s="65" t="s">
        <v>208</v>
      </c>
      <c r="Q41" s="66">
        <v>151.38</v>
      </c>
      <c r="R41" s="66">
        <v>142.19999999999999</v>
      </c>
      <c r="S41" s="66">
        <v>142.28</v>
      </c>
    </row>
    <row r="42" spans="1:19" x14ac:dyDescent="0.35">
      <c r="A42" s="76">
        <v>45689</v>
      </c>
      <c r="B42" s="65" t="s">
        <v>239</v>
      </c>
      <c r="C42" s="66">
        <v>135.44999999999999</v>
      </c>
      <c r="D42" s="66">
        <v>127.89</v>
      </c>
      <c r="E42" s="66">
        <v>133.41999999999999</v>
      </c>
      <c r="F42" s="66">
        <v>132.44</v>
      </c>
      <c r="G42" s="66">
        <v>133.69999999999999</v>
      </c>
      <c r="H42" s="66">
        <v>130.28</v>
      </c>
      <c r="I42" s="66">
        <v>134.61000000000001</v>
      </c>
      <c r="J42" s="66">
        <v>94.52</v>
      </c>
      <c r="K42" s="66">
        <v>135.66</v>
      </c>
      <c r="L42" s="66">
        <v>136.35</v>
      </c>
      <c r="M42" s="66">
        <v>99.14</v>
      </c>
      <c r="N42" s="66">
        <v>140.94999999999999</v>
      </c>
      <c r="O42" s="66">
        <v>135.76</v>
      </c>
      <c r="P42" s="65" t="s">
        <v>208</v>
      </c>
      <c r="Q42" s="66">
        <v>146.6</v>
      </c>
      <c r="R42" s="66">
        <v>135.68</v>
      </c>
      <c r="S42" s="66">
        <v>135.66999999999999</v>
      </c>
    </row>
    <row r="43" spans="1:19" x14ac:dyDescent="0.35">
      <c r="A43" s="76">
        <v>45690</v>
      </c>
      <c r="B43" s="65" t="s">
        <v>240</v>
      </c>
      <c r="C43" s="66">
        <v>137.13</v>
      </c>
      <c r="D43" s="66">
        <v>130.63</v>
      </c>
      <c r="E43" s="66">
        <v>135.66999999999999</v>
      </c>
      <c r="F43" s="66">
        <v>135.16999999999999</v>
      </c>
      <c r="G43" s="66">
        <v>137.13</v>
      </c>
      <c r="H43" s="66">
        <v>132.13999999999999</v>
      </c>
      <c r="I43" s="66">
        <v>136.37</v>
      </c>
      <c r="J43" s="66">
        <v>106.88</v>
      </c>
      <c r="K43" s="66">
        <v>137.44999999999999</v>
      </c>
      <c r="L43" s="66">
        <v>137.59</v>
      </c>
      <c r="M43" s="66">
        <v>105.13</v>
      </c>
      <c r="N43" s="66">
        <v>136.08000000000001</v>
      </c>
      <c r="O43" s="66">
        <v>137.30000000000001</v>
      </c>
      <c r="P43" s="65" t="s">
        <v>208</v>
      </c>
      <c r="Q43" s="66">
        <v>138.07</v>
      </c>
      <c r="R43" s="66">
        <v>137.55000000000001</v>
      </c>
      <c r="S43" s="66">
        <v>137.41</v>
      </c>
    </row>
    <row r="44" spans="1:19" x14ac:dyDescent="0.35">
      <c r="A44" s="76">
        <v>45691</v>
      </c>
      <c r="B44" s="65" t="s">
        <v>241</v>
      </c>
      <c r="C44" s="66">
        <v>154.51</v>
      </c>
      <c r="D44" s="66">
        <v>149</v>
      </c>
      <c r="E44" s="66">
        <v>151.71</v>
      </c>
      <c r="F44" s="66">
        <v>150.21</v>
      </c>
      <c r="G44" s="66">
        <v>154.51</v>
      </c>
      <c r="H44" s="66">
        <v>150.65</v>
      </c>
      <c r="I44" s="66">
        <v>152.38</v>
      </c>
      <c r="J44" s="66">
        <v>128.38</v>
      </c>
      <c r="K44" s="66">
        <v>154.44999999999999</v>
      </c>
      <c r="L44" s="66">
        <v>150.44</v>
      </c>
      <c r="M44" s="66">
        <v>129.6</v>
      </c>
      <c r="N44" s="66">
        <v>162.16</v>
      </c>
      <c r="O44" s="66">
        <v>154.47999999999999</v>
      </c>
      <c r="P44" s="65" t="s">
        <v>208</v>
      </c>
      <c r="Q44" s="66">
        <v>155.81</v>
      </c>
      <c r="R44" s="66">
        <v>154.15</v>
      </c>
      <c r="S44" s="66">
        <v>154.37</v>
      </c>
    </row>
    <row r="45" spans="1:19" x14ac:dyDescent="0.35">
      <c r="A45" s="76">
        <v>45692</v>
      </c>
      <c r="B45" s="65" t="s">
        <v>242</v>
      </c>
      <c r="C45" s="66">
        <v>142.41999999999999</v>
      </c>
      <c r="D45" s="66">
        <v>128.21</v>
      </c>
      <c r="E45" s="66">
        <v>141.02000000000001</v>
      </c>
      <c r="F45" s="66">
        <v>101.94</v>
      </c>
      <c r="G45" s="66">
        <v>139.16999999999999</v>
      </c>
      <c r="H45" s="66">
        <v>141.06</v>
      </c>
      <c r="I45" s="66">
        <v>133.94999999999999</v>
      </c>
      <c r="J45" s="66">
        <v>73.180000000000007</v>
      </c>
      <c r="K45" s="66">
        <v>144.97</v>
      </c>
      <c r="L45" s="66">
        <v>145.15</v>
      </c>
      <c r="M45" s="66">
        <v>96.13</v>
      </c>
      <c r="N45" s="66">
        <v>149.44</v>
      </c>
      <c r="O45" s="66">
        <v>144.28</v>
      </c>
      <c r="P45" s="65" t="s">
        <v>208</v>
      </c>
      <c r="Q45" s="66">
        <v>152.6</v>
      </c>
      <c r="R45" s="66">
        <v>144.68</v>
      </c>
      <c r="S45" s="66">
        <v>145.41</v>
      </c>
    </row>
    <row r="46" spans="1:19" x14ac:dyDescent="0.35">
      <c r="A46" s="76">
        <v>45693</v>
      </c>
      <c r="B46" s="65" t="s">
        <v>243</v>
      </c>
      <c r="C46" s="66">
        <v>141.77000000000001</v>
      </c>
      <c r="D46" s="66">
        <v>118.76</v>
      </c>
      <c r="E46" s="66">
        <v>146.22999999999999</v>
      </c>
      <c r="F46" s="66">
        <v>91.14</v>
      </c>
      <c r="G46" s="66">
        <v>116.19</v>
      </c>
      <c r="H46" s="66">
        <v>145.31</v>
      </c>
      <c r="I46" s="66">
        <v>137.07</v>
      </c>
      <c r="J46" s="66">
        <v>48.04</v>
      </c>
      <c r="K46" s="66">
        <v>143.27000000000001</v>
      </c>
      <c r="L46" s="66">
        <v>141.49</v>
      </c>
      <c r="M46" s="66">
        <v>45.62</v>
      </c>
      <c r="N46" s="66">
        <v>149.38999999999999</v>
      </c>
      <c r="O46" s="66">
        <v>142.66999999999999</v>
      </c>
      <c r="P46" s="65" t="s">
        <v>208</v>
      </c>
      <c r="Q46" s="66">
        <v>149.69999999999999</v>
      </c>
      <c r="R46" s="66">
        <v>143.27000000000001</v>
      </c>
      <c r="S46" s="66">
        <v>143.09</v>
      </c>
    </row>
    <row r="47" spans="1:19" x14ac:dyDescent="0.35">
      <c r="A47" s="76">
        <v>45694</v>
      </c>
      <c r="B47" s="65" t="s">
        <v>244</v>
      </c>
      <c r="C47" s="66">
        <v>150.09</v>
      </c>
      <c r="D47" s="66">
        <v>138.84</v>
      </c>
      <c r="E47" s="66">
        <v>143.22</v>
      </c>
      <c r="F47" s="66">
        <v>138.08000000000001</v>
      </c>
      <c r="G47" s="66">
        <v>146.57</v>
      </c>
      <c r="H47" s="66">
        <v>142.58000000000001</v>
      </c>
      <c r="I47" s="66">
        <v>139.4</v>
      </c>
      <c r="J47" s="66">
        <v>103.9</v>
      </c>
      <c r="K47" s="66">
        <v>151.27000000000001</v>
      </c>
      <c r="L47" s="66">
        <v>151.16999999999999</v>
      </c>
      <c r="M47" s="66">
        <v>107.23</v>
      </c>
      <c r="N47" s="66">
        <v>154.38</v>
      </c>
      <c r="O47" s="66">
        <v>149.46</v>
      </c>
      <c r="P47" s="65" t="s">
        <v>208</v>
      </c>
      <c r="Q47" s="66">
        <v>153.18</v>
      </c>
      <c r="R47" s="66">
        <v>151.78</v>
      </c>
      <c r="S47" s="66">
        <v>153.84</v>
      </c>
    </row>
    <row r="48" spans="1:19" x14ac:dyDescent="0.35">
      <c r="A48" s="76">
        <v>45695</v>
      </c>
      <c r="B48" s="65" t="s">
        <v>245</v>
      </c>
      <c r="C48" s="66">
        <v>121.18</v>
      </c>
      <c r="D48" s="66">
        <v>118.31</v>
      </c>
      <c r="E48" s="66">
        <v>132.61000000000001</v>
      </c>
      <c r="F48" s="66">
        <v>101.58</v>
      </c>
      <c r="G48" s="66">
        <v>109.02</v>
      </c>
      <c r="H48" s="66">
        <v>129.78</v>
      </c>
      <c r="I48" s="66">
        <v>114.65</v>
      </c>
      <c r="J48" s="66">
        <v>83.37</v>
      </c>
      <c r="K48" s="66">
        <v>131.47999999999999</v>
      </c>
      <c r="L48" s="66">
        <v>133.38</v>
      </c>
      <c r="M48" s="66">
        <v>89.86</v>
      </c>
      <c r="N48" s="66">
        <v>148.15</v>
      </c>
      <c r="O48" s="66">
        <v>127.56</v>
      </c>
      <c r="P48" s="65" t="s">
        <v>208</v>
      </c>
      <c r="Q48" s="66">
        <v>154.87</v>
      </c>
      <c r="R48" s="66">
        <v>135.68</v>
      </c>
      <c r="S48" s="66">
        <v>141.49</v>
      </c>
    </row>
    <row r="49" spans="1:19" x14ac:dyDescent="0.35">
      <c r="A49" s="76">
        <v>45696</v>
      </c>
      <c r="B49" s="65" t="s">
        <v>246</v>
      </c>
      <c r="C49" s="66">
        <v>108.81</v>
      </c>
      <c r="D49" s="66">
        <v>104.33</v>
      </c>
      <c r="E49" s="66">
        <v>130.81</v>
      </c>
      <c r="F49" s="66">
        <v>78.78</v>
      </c>
      <c r="G49" s="66">
        <v>92.89</v>
      </c>
      <c r="H49" s="66">
        <v>123.32</v>
      </c>
      <c r="I49" s="66">
        <v>121.76</v>
      </c>
      <c r="J49" s="66">
        <v>58.23</v>
      </c>
      <c r="K49" s="66">
        <v>113.32</v>
      </c>
      <c r="L49" s="66">
        <v>107.39</v>
      </c>
      <c r="M49" s="66">
        <v>61.99</v>
      </c>
      <c r="N49" s="66">
        <v>148.02000000000001</v>
      </c>
      <c r="O49" s="66">
        <v>111.14</v>
      </c>
      <c r="P49" s="65" t="s">
        <v>208</v>
      </c>
      <c r="Q49" s="66">
        <v>155.59</v>
      </c>
      <c r="R49" s="66">
        <v>114.17</v>
      </c>
      <c r="S49" s="66">
        <v>114.3</v>
      </c>
    </row>
    <row r="50" spans="1:19" x14ac:dyDescent="0.35">
      <c r="A50" s="76">
        <v>45697</v>
      </c>
      <c r="B50" s="65" t="s">
        <v>247</v>
      </c>
      <c r="C50" s="66">
        <v>128.41999999999999</v>
      </c>
      <c r="D50" s="66">
        <v>119.1</v>
      </c>
      <c r="E50" s="66">
        <v>135.66999999999999</v>
      </c>
      <c r="F50" s="66">
        <v>108.21</v>
      </c>
      <c r="G50" s="66">
        <v>114.59</v>
      </c>
      <c r="H50" s="66">
        <v>133.75</v>
      </c>
      <c r="I50" s="66">
        <v>127.23</v>
      </c>
      <c r="J50" s="66">
        <v>78.05</v>
      </c>
      <c r="K50" s="66">
        <v>130.16999999999999</v>
      </c>
      <c r="L50" s="66">
        <v>126.81</v>
      </c>
      <c r="M50" s="66">
        <v>84.66</v>
      </c>
      <c r="N50" s="66">
        <v>144.6</v>
      </c>
      <c r="O50" s="66">
        <v>126.33</v>
      </c>
      <c r="P50" s="65" t="s">
        <v>208</v>
      </c>
      <c r="Q50" s="66">
        <v>155.76</v>
      </c>
      <c r="R50" s="66">
        <v>130.74</v>
      </c>
      <c r="S50" s="66">
        <v>131.79</v>
      </c>
    </row>
    <row r="51" spans="1:19" x14ac:dyDescent="0.35">
      <c r="A51" s="76">
        <v>45698</v>
      </c>
      <c r="B51" s="65" t="s">
        <v>248</v>
      </c>
      <c r="C51" s="66">
        <v>121.84</v>
      </c>
      <c r="D51" s="66">
        <v>115.88</v>
      </c>
      <c r="E51" s="66">
        <v>156.79</v>
      </c>
      <c r="F51" s="66">
        <v>81.11</v>
      </c>
      <c r="G51" s="66">
        <v>76.819999999999993</v>
      </c>
      <c r="H51" s="66">
        <v>144.21</v>
      </c>
      <c r="I51" s="66">
        <v>119.16</v>
      </c>
      <c r="J51" s="66">
        <v>65.28</v>
      </c>
      <c r="K51" s="66">
        <v>144.1</v>
      </c>
      <c r="L51" s="66">
        <v>123.87</v>
      </c>
      <c r="M51" s="66">
        <v>77.63</v>
      </c>
      <c r="N51" s="66">
        <v>155.28</v>
      </c>
      <c r="O51" s="66">
        <v>130.44999999999999</v>
      </c>
      <c r="P51" s="65" t="s">
        <v>208</v>
      </c>
      <c r="Q51" s="66">
        <v>162.9</v>
      </c>
      <c r="R51" s="66">
        <v>150.37</v>
      </c>
      <c r="S51" s="66">
        <v>156.01</v>
      </c>
    </row>
    <row r="52" spans="1:19" x14ac:dyDescent="0.35">
      <c r="A52" s="76">
        <v>45699</v>
      </c>
      <c r="B52" s="65" t="s">
        <v>249</v>
      </c>
      <c r="C52" s="66">
        <v>120.01</v>
      </c>
      <c r="D52" s="66">
        <v>114.91</v>
      </c>
      <c r="E52" s="66">
        <v>153.1</v>
      </c>
      <c r="F52" s="66">
        <v>75.180000000000007</v>
      </c>
      <c r="G52" s="66">
        <v>75.45</v>
      </c>
      <c r="H52" s="66">
        <v>141.57</v>
      </c>
      <c r="I52" s="66">
        <v>128.91999999999999</v>
      </c>
      <c r="J52" s="66">
        <v>58.39</v>
      </c>
      <c r="K52" s="66">
        <v>141.81</v>
      </c>
      <c r="L52" s="66">
        <v>128.91999999999999</v>
      </c>
      <c r="M52" s="66">
        <v>67.48</v>
      </c>
      <c r="N52" s="66">
        <v>163.5</v>
      </c>
      <c r="O52" s="66">
        <v>129.72</v>
      </c>
      <c r="P52" s="65" t="s">
        <v>208</v>
      </c>
      <c r="Q52" s="66">
        <v>166.64</v>
      </c>
      <c r="R52" s="66">
        <v>153.56</v>
      </c>
      <c r="S52" s="66">
        <v>162.83000000000001</v>
      </c>
    </row>
    <row r="53" spans="1:19" x14ac:dyDescent="0.35">
      <c r="A53" s="76">
        <v>45700</v>
      </c>
      <c r="B53" s="65" t="s">
        <v>250</v>
      </c>
      <c r="C53" s="66">
        <v>154.32</v>
      </c>
      <c r="D53" s="66">
        <v>143.54</v>
      </c>
      <c r="E53" s="66">
        <v>154.72</v>
      </c>
      <c r="F53" s="66">
        <v>129.83000000000001</v>
      </c>
      <c r="G53" s="66">
        <v>132.22</v>
      </c>
      <c r="H53" s="66">
        <v>154.37</v>
      </c>
      <c r="I53" s="66">
        <v>153.88</v>
      </c>
      <c r="J53" s="66">
        <v>115.85</v>
      </c>
      <c r="K53" s="66">
        <v>161.35</v>
      </c>
      <c r="L53" s="66">
        <v>133.02000000000001</v>
      </c>
      <c r="M53" s="66">
        <v>127.49</v>
      </c>
      <c r="N53" s="66">
        <v>164.43</v>
      </c>
      <c r="O53" s="66">
        <v>151.74</v>
      </c>
      <c r="P53" s="65" t="s">
        <v>208</v>
      </c>
      <c r="Q53" s="66">
        <v>172.21</v>
      </c>
      <c r="R53" s="66">
        <v>168.78</v>
      </c>
      <c r="S53" s="66">
        <v>184.36</v>
      </c>
    </row>
    <row r="54" spans="1:19" x14ac:dyDescent="0.35">
      <c r="A54" s="76">
        <v>45701</v>
      </c>
      <c r="B54" s="65" t="s">
        <v>251</v>
      </c>
      <c r="C54" s="66">
        <v>172.12</v>
      </c>
      <c r="D54" s="66">
        <v>163.01</v>
      </c>
      <c r="E54" s="66">
        <v>162.44</v>
      </c>
      <c r="F54" s="66">
        <v>159.21</v>
      </c>
      <c r="G54" s="66">
        <v>165.83</v>
      </c>
      <c r="H54" s="66">
        <v>150.63</v>
      </c>
      <c r="I54" s="66">
        <v>168.19</v>
      </c>
      <c r="J54" s="66">
        <v>134.79</v>
      </c>
      <c r="K54" s="66">
        <v>180.05</v>
      </c>
      <c r="L54" s="66">
        <v>177.75</v>
      </c>
      <c r="M54" s="66">
        <v>143.77000000000001</v>
      </c>
      <c r="N54" s="66">
        <v>170.32</v>
      </c>
      <c r="O54" s="66">
        <v>180.17</v>
      </c>
      <c r="P54" s="65" t="s">
        <v>208</v>
      </c>
      <c r="Q54" s="66">
        <v>170.59</v>
      </c>
      <c r="R54" s="66">
        <v>206.19</v>
      </c>
      <c r="S54" s="66">
        <v>205.91</v>
      </c>
    </row>
    <row r="55" spans="1:19" x14ac:dyDescent="0.35">
      <c r="A55" s="76">
        <v>45702</v>
      </c>
      <c r="B55" s="65" t="s">
        <v>252</v>
      </c>
      <c r="C55" s="66">
        <v>179.14</v>
      </c>
      <c r="D55" s="66">
        <v>169.83</v>
      </c>
      <c r="E55" s="66">
        <v>161.91999999999999</v>
      </c>
      <c r="F55" s="66">
        <v>178.9</v>
      </c>
      <c r="G55" s="66">
        <v>178.99</v>
      </c>
      <c r="H55" s="66">
        <v>147.94999999999999</v>
      </c>
      <c r="I55" s="66">
        <v>174.14</v>
      </c>
      <c r="J55" s="66">
        <v>155.13</v>
      </c>
      <c r="K55" s="66">
        <v>177.58</v>
      </c>
      <c r="L55" s="66">
        <v>176.05</v>
      </c>
      <c r="M55" s="66">
        <v>168.82</v>
      </c>
      <c r="N55" s="66">
        <v>169.89</v>
      </c>
      <c r="O55" s="66">
        <v>178.79</v>
      </c>
      <c r="P55" s="65" t="s">
        <v>208</v>
      </c>
      <c r="Q55" s="66">
        <v>162.97999999999999</v>
      </c>
      <c r="R55" s="66">
        <v>177.36</v>
      </c>
      <c r="S55" s="66">
        <v>181.41</v>
      </c>
    </row>
    <row r="56" spans="1:19" x14ac:dyDescent="0.35">
      <c r="A56" s="76">
        <v>45703</v>
      </c>
      <c r="B56" s="65" t="s">
        <v>253</v>
      </c>
      <c r="C56" s="66">
        <v>133.66</v>
      </c>
      <c r="D56" s="66">
        <v>129.56</v>
      </c>
      <c r="E56" s="66">
        <v>129.41999999999999</v>
      </c>
      <c r="F56" s="66">
        <v>132.49</v>
      </c>
      <c r="G56" s="66">
        <v>131.80000000000001</v>
      </c>
      <c r="H56" s="66">
        <v>121.08</v>
      </c>
      <c r="I56" s="66">
        <v>131.5</v>
      </c>
      <c r="J56" s="66">
        <v>109.58</v>
      </c>
      <c r="K56" s="66">
        <v>135.76</v>
      </c>
      <c r="L56" s="66">
        <v>133.83000000000001</v>
      </c>
      <c r="M56" s="66">
        <v>126.77</v>
      </c>
      <c r="N56" s="66">
        <v>140.28</v>
      </c>
      <c r="O56" s="66">
        <v>132.6</v>
      </c>
      <c r="P56" s="65" t="s">
        <v>208</v>
      </c>
      <c r="Q56" s="66">
        <v>142.18</v>
      </c>
      <c r="R56" s="66">
        <v>137.21</v>
      </c>
      <c r="S56" s="66">
        <v>140.51</v>
      </c>
    </row>
    <row r="57" spans="1:19" x14ac:dyDescent="0.35">
      <c r="A57" s="76">
        <v>45704</v>
      </c>
      <c r="B57" s="65" t="s">
        <v>254</v>
      </c>
      <c r="C57" s="66">
        <v>132.65</v>
      </c>
      <c r="D57" s="66">
        <v>131.03</v>
      </c>
      <c r="E57" s="66">
        <v>129.62</v>
      </c>
      <c r="F57" s="66">
        <v>132.65</v>
      </c>
      <c r="G57" s="66">
        <v>132.63999999999999</v>
      </c>
      <c r="H57" s="66">
        <v>125.3</v>
      </c>
      <c r="I57" s="66">
        <v>130.38</v>
      </c>
      <c r="J57" s="66">
        <v>122.62</v>
      </c>
      <c r="K57" s="66">
        <v>138.66999999999999</v>
      </c>
      <c r="L57" s="66">
        <v>135.68</v>
      </c>
      <c r="M57" s="66">
        <v>126.84</v>
      </c>
      <c r="N57" s="66">
        <v>133.43</v>
      </c>
      <c r="O57" s="66">
        <v>133.46</v>
      </c>
      <c r="P57" s="65" t="s">
        <v>208</v>
      </c>
      <c r="Q57" s="66">
        <v>143.72999999999999</v>
      </c>
      <c r="R57" s="66">
        <v>139.9</v>
      </c>
      <c r="S57" s="66">
        <v>143.36000000000001</v>
      </c>
    </row>
    <row r="58" spans="1:19" x14ac:dyDescent="0.35">
      <c r="A58" s="76">
        <v>45705</v>
      </c>
      <c r="B58" s="65" t="s">
        <v>255</v>
      </c>
      <c r="C58" s="66">
        <v>153.41999999999999</v>
      </c>
      <c r="D58" s="66">
        <v>149.44999999999999</v>
      </c>
      <c r="E58" s="66">
        <v>148.88999999999999</v>
      </c>
      <c r="F58" s="66">
        <v>152.9</v>
      </c>
      <c r="G58" s="66">
        <v>153.49</v>
      </c>
      <c r="H58" s="66">
        <v>144.88</v>
      </c>
      <c r="I58" s="66">
        <v>152.03</v>
      </c>
      <c r="J58" s="66">
        <v>117.7</v>
      </c>
      <c r="K58" s="66">
        <v>158.02000000000001</v>
      </c>
      <c r="L58" s="66">
        <v>151.58000000000001</v>
      </c>
      <c r="M58" s="66">
        <v>150.63</v>
      </c>
      <c r="N58" s="66">
        <v>159.82</v>
      </c>
      <c r="O58" s="66">
        <v>154.04</v>
      </c>
      <c r="P58" s="65" t="s">
        <v>208</v>
      </c>
      <c r="Q58" s="66">
        <v>161.38999999999999</v>
      </c>
      <c r="R58" s="66">
        <v>157.9</v>
      </c>
      <c r="S58" s="66">
        <v>160.13999999999999</v>
      </c>
    </row>
    <row r="59" spans="1:19" x14ac:dyDescent="0.35">
      <c r="A59" s="76">
        <v>45706</v>
      </c>
      <c r="B59" s="65" t="s">
        <v>256</v>
      </c>
      <c r="C59" s="66">
        <v>132.44999999999999</v>
      </c>
      <c r="D59" s="66">
        <v>135.62</v>
      </c>
      <c r="E59" s="66">
        <v>130.47999999999999</v>
      </c>
      <c r="F59" s="66">
        <v>132.27000000000001</v>
      </c>
      <c r="G59" s="66">
        <v>132.46</v>
      </c>
      <c r="H59" s="66">
        <v>130.18</v>
      </c>
      <c r="I59" s="66">
        <v>131.43</v>
      </c>
      <c r="J59" s="66">
        <v>124.67</v>
      </c>
      <c r="K59" s="66">
        <v>158.57</v>
      </c>
      <c r="L59" s="66">
        <v>136.79</v>
      </c>
      <c r="M59" s="66">
        <v>128.1</v>
      </c>
      <c r="N59" s="66">
        <v>153.9</v>
      </c>
      <c r="O59" s="66">
        <v>132.97999999999999</v>
      </c>
      <c r="P59" s="65" t="s">
        <v>208</v>
      </c>
      <c r="Q59" s="66">
        <v>155.80000000000001</v>
      </c>
      <c r="R59" s="66">
        <v>169.81</v>
      </c>
      <c r="S59" s="66">
        <v>203.28</v>
      </c>
    </row>
    <row r="60" spans="1:19" x14ac:dyDescent="0.35">
      <c r="A60" s="76">
        <v>45707</v>
      </c>
      <c r="B60" s="65" t="s">
        <v>257</v>
      </c>
      <c r="C60" s="66">
        <v>110.83</v>
      </c>
      <c r="D60" s="66">
        <v>120.79</v>
      </c>
      <c r="E60" s="66">
        <v>118.74</v>
      </c>
      <c r="F60" s="66">
        <v>107.97</v>
      </c>
      <c r="G60" s="66">
        <v>110.47</v>
      </c>
      <c r="H60" s="66">
        <v>117.31</v>
      </c>
      <c r="I60" s="66">
        <v>109.96</v>
      </c>
      <c r="J60" s="66">
        <v>100.58</v>
      </c>
      <c r="K60" s="66">
        <v>139.59</v>
      </c>
      <c r="L60" s="66">
        <v>141.62</v>
      </c>
      <c r="M60" s="66">
        <v>109.77</v>
      </c>
      <c r="N60" s="66">
        <v>151.29</v>
      </c>
      <c r="O60" s="66">
        <v>121.42</v>
      </c>
      <c r="P60" s="65" t="s">
        <v>208</v>
      </c>
      <c r="Q60" s="66">
        <v>152.27000000000001</v>
      </c>
      <c r="R60" s="66">
        <v>148.63</v>
      </c>
      <c r="S60" s="66">
        <v>169.59</v>
      </c>
    </row>
    <row r="61" spans="1:19" x14ac:dyDescent="0.35">
      <c r="A61" s="76">
        <v>45708</v>
      </c>
      <c r="B61" s="65" t="s">
        <v>258</v>
      </c>
      <c r="C61" s="66">
        <v>94.95</v>
      </c>
      <c r="D61" s="66">
        <v>97.79</v>
      </c>
      <c r="E61" s="66">
        <v>98.1</v>
      </c>
      <c r="F61" s="66">
        <v>66.08</v>
      </c>
      <c r="G61" s="66">
        <v>70.760000000000005</v>
      </c>
      <c r="H61" s="66">
        <v>99.49</v>
      </c>
      <c r="I61" s="66">
        <v>97.05</v>
      </c>
      <c r="J61" s="66">
        <v>62.09</v>
      </c>
      <c r="K61" s="66">
        <v>136.36000000000001</v>
      </c>
      <c r="L61" s="66">
        <v>110.44</v>
      </c>
      <c r="M61" s="66">
        <v>68.540000000000006</v>
      </c>
      <c r="N61" s="66">
        <v>146.86000000000001</v>
      </c>
      <c r="O61" s="66">
        <v>119.89</v>
      </c>
      <c r="P61" s="65" t="s">
        <v>208</v>
      </c>
      <c r="Q61" s="66">
        <v>153.01</v>
      </c>
      <c r="R61" s="66">
        <v>146.13</v>
      </c>
      <c r="S61" s="66">
        <v>181.31</v>
      </c>
    </row>
    <row r="62" spans="1:19" x14ac:dyDescent="0.35">
      <c r="A62" s="76">
        <v>45709</v>
      </c>
      <c r="B62" s="65" t="s">
        <v>259</v>
      </c>
      <c r="C62" s="66">
        <v>90.8</v>
      </c>
      <c r="D62" s="66">
        <v>89.29</v>
      </c>
      <c r="E62" s="66">
        <v>79.489999999999995</v>
      </c>
      <c r="F62" s="66">
        <v>68.760000000000005</v>
      </c>
      <c r="G62" s="66">
        <v>74.540000000000006</v>
      </c>
      <c r="H62" s="66">
        <v>63.9</v>
      </c>
      <c r="I62" s="66">
        <v>84.86</v>
      </c>
      <c r="J62" s="66">
        <v>63.48</v>
      </c>
      <c r="K62" s="66">
        <v>118.29</v>
      </c>
      <c r="L62" s="66">
        <v>110.47</v>
      </c>
      <c r="M62" s="66">
        <v>64.34</v>
      </c>
      <c r="N62" s="66">
        <v>144.09</v>
      </c>
      <c r="O62" s="66">
        <v>110</v>
      </c>
      <c r="P62" s="65" t="s">
        <v>208</v>
      </c>
      <c r="Q62" s="66">
        <v>144.6</v>
      </c>
      <c r="R62" s="66">
        <v>126.14</v>
      </c>
      <c r="S62" s="66">
        <v>151.51</v>
      </c>
    </row>
    <row r="63" spans="1:19" x14ac:dyDescent="0.35">
      <c r="A63" s="76">
        <v>45710</v>
      </c>
      <c r="B63" s="65" t="s">
        <v>260</v>
      </c>
      <c r="C63" s="66">
        <v>70.319999999999993</v>
      </c>
      <c r="D63" s="66">
        <v>77.83</v>
      </c>
      <c r="E63" s="66">
        <v>79.16</v>
      </c>
      <c r="F63" s="66">
        <v>64.69</v>
      </c>
      <c r="G63" s="66">
        <v>62.61</v>
      </c>
      <c r="H63" s="66">
        <v>75.150000000000006</v>
      </c>
      <c r="I63" s="66">
        <v>85.75</v>
      </c>
      <c r="J63" s="66">
        <v>49.27</v>
      </c>
      <c r="K63" s="66">
        <v>101.37</v>
      </c>
      <c r="L63" s="66">
        <v>82.31</v>
      </c>
      <c r="M63" s="66">
        <v>43.69</v>
      </c>
      <c r="N63" s="66">
        <v>129.96</v>
      </c>
      <c r="O63" s="66">
        <v>82.23</v>
      </c>
      <c r="P63" s="65" t="s">
        <v>208</v>
      </c>
      <c r="Q63" s="66">
        <v>138.12</v>
      </c>
      <c r="R63" s="66">
        <v>114.09</v>
      </c>
      <c r="S63" s="66">
        <v>145.91</v>
      </c>
    </row>
    <row r="64" spans="1:19" x14ac:dyDescent="0.35">
      <c r="A64" s="76">
        <v>45711</v>
      </c>
      <c r="B64" s="65" t="s">
        <v>261</v>
      </c>
      <c r="C64" s="66">
        <v>91.04</v>
      </c>
      <c r="D64" s="66">
        <v>87.07</v>
      </c>
      <c r="E64" s="66">
        <v>82.05</v>
      </c>
      <c r="F64" s="66">
        <v>74.239999999999995</v>
      </c>
      <c r="G64" s="66">
        <v>84.31</v>
      </c>
      <c r="H64" s="66">
        <v>70.3</v>
      </c>
      <c r="I64" s="66">
        <v>83.17</v>
      </c>
      <c r="J64" s="66">
        <v>49.99</v>
      </c>
      <c r="K64" s="66">
        <v>119.59</v>
      </c>
      <c r="L64" s="66">
        <v>112.9</v>
      </c>
      <c r="M64" s="66">
        <v>56</v>
      </c>
      <c r="N64" s="66">
        <v>125.18</v>
      </c>
      <c r="O64" s="66">
        <v>100.06</v>
      </c>
      <c r="P64" s="65" t="s">
        <v>208</v>
      </c>
      <c r="Q64" s="66">
        <v>132.59</v>
      </c>
      <c r="R64" s="66">
        <v>128.44999999999999</v>
      </c>
      <c r="S64" s="66">
        <v>149.05000000000001</v>
      </c>
    </row>
    <row r="65" spans="1:19" x14ac:dyDescent="0.35">
      <c r="A65" s="76">
        <v>45712</v>
      </c>
      <c r="B65" s="65" t="s">
        <v>262</v>
      </c>
      <c r="C65" s="66">
        <v>91.05</v>
      </c>
      <c r="D65" s="66">
        <v>85.1</v>
      </c>
      <c r="E65" s="66">
        <v>84.98</v>
      </c>
      <c r="F65" s="66">
        <v>48.4</v>
      </c>
      <c r="G65" s="66">
        <v>46.47</v>
      </c>
      <c r="H65" s="66">
        <v>86.75</v>
      </c>
      <c r="I65" s="66">
        <v>78.61</v>
      </c>
      <c r="J65" s="66">
        <v>44.8</v>
      </c>
      <c r="K65" s="66">
        <v>138.6</v>
      </c>
      <c r="L65" s="66">
        <v>124.79</v>
      </c>
      <c r="M65" s="66">
        <v>33.770000000000003</v>
      </c>
      <c r="N65" s="66">
        <v>143.19</v>
      </c>
      <c r="O65" s="66">
        <v>105.77</v>
      </c>
      <c r="P65" s="65" t="s">
        <v>208</v>
      </c>
      <c r="Q65" s="66">
        <v>142.88</v>
      </c>
      <c r="R65" s="66">
        <v>161.02000000000001</v>
      </c>
      <c r="S65" s="66">
        <v>210.42</v>
      </c>
    </row>
    <row r="66" spans="1:19" x14ac:dyDescent="0.35">
      <c r="A66" s="76">
        <v>45713</v>
      </c>
      <c r="B66" s="65" t="s">
        <v>263</v>
      </c>
      <c r="C66" s="66">
        <v>139.76</v>
      </c>
      <c r="D66" s="66">
        <v>117.83</v>
      </c>
      <c r="E66" s="66">
        <v>123.27</v>
      </c>
      <c r="F66" s="66">
        <v>134.1</v>
      </c>
      <c r="G66" s="66">
        <v>139.06</v>
      </c>
      <c r="H66" s="66">
        <v>103.69</v>
      </c>
      <c r="I66" s="66">
        <v>133.77000000000001</v>
      </c>
      <c r="J66" s="66">
        <v>52.73</v>
      </c>
      <c r="K66" s="66">
        <v>146.79</v>
      </c>
      <c r="L66" s="66">
        <v>133.97999999999999</v>
      </c>
      <c r="M66" s="66">
        <v>49.52</v>
      </c>
      <c r="N66" s="66">
        <v>147.01</v>
      </c>
      <c r="O66" s="66">
        <v>132.24</v>
      </c>
      <c r="P66" s="65" t="s">
        <v>208</v>
      </c>
      <c r="Q66" s="66">
        <v>143.88999999999999</v>
      </c>
      <c r="R66" s="66">
        <v>160.16999999999999</v>
      </c>
      <c r="S66" s="66">
        <v>193.35</v>
      </c>
    </row>
    <row r="67" spans="1:19" x14ac:dyDescent="0.35">
      <c r="A67" s="76">
        <v>45714</v>
      </c>
      <c r="B67" s="65" t="s">
        <v>264</v>
      </c>
      <c r="C67" s="66">
        <v>135.69</v>
      </c>
      <c r="D67" s="66">
        <v>117.68</v>
      </c>
      <c r="E67" s="66">
        <v>120.53</v>
      </c>
      <c r="F67" s="66">
        <v>134.29</v>
      </c>
      <c r="G67" s="66">
        <v>135.69999999999999</v>
      </c>
      <c r="H67" s="66">
        <v>101.85</v>
      </c>
      <c r="I67" s="66">
        <v>122.95</v>
      </c>
      <c r="J67" s="66">
        <v>61.14</v>
      </c>
      <c r="K67" s="66">
        <v>142</v>
      </c>
      <c r="L67" s="66">
        <v>135.88999999999999</v>
      </c>
      <c r="M67" s="66">
        <v>61.45</v>
      </c>
      <c r="N67" s="66">
        <v>144.16999999999999</v>
      </c>
      <c r="O67" s="66">
        <v>134.51</v>
      </c>
      <c r="P67" s="65" t="s">
        <v>208</v>
      </c>
      <c r="Q67" s="66">
        <v>141.18</v>
      </c>
      <c r="R67" s="66">
        <v>146.18</v>
      </c>
      <c r="S67" s="66">
        <v>154.82</v>
      </c>
    </row>
    <row r="68" spans="1:19" x14ac:dyDescent="0.35">
      <c r="A68" s="76">
        <v>45715</v>
      </c>
      <c r="B68" s="65" t="s">
        <v>265</v>
      </c>
      <c r="C68" s="66">
        <v>126.03</v>
      </c>
      <c r="D68" s="66">
        <v>117.97</v>
      </c>
      <c r="E68" s="66">
        <v>119.41</v>
      </c>
      <c r="F68" s="66">
        <v>125.28</v>
      </c>
      <c r="G68" s="66">
        <v>126.04</v>
      </c>
      <c r="H68" s="66">
        <v>114.74</v>
      </c>
      <c r="I68" s="66">
        <v>117.86</v>
      </c>
      <c r="J68" s="66">
        <v>82.12</v>
      </c>
      <c r="K68" s="66">
        <v>131.13999999999999</v>
      </c>
      <c r="L68" s="66">
        <v>137.72999999999999</v>
      </c>
      <c r="M68" s="66">
        <v>79.34</v>
      </c>
      <c r="N68" s="66">
        <v>136.11000000000001</v>
      </c>
      <c r="O68" s="66">
        <v>127.91</v>
      </c>
      <c r="P68" s="65" t="s">
        <v>208</v>
      </c>
      <c r="Q68" s="66">
        <v>135.29</v>
      </c>
      <c r="R68" s="66">
        <v>133.82</v>
      </c>
      <c r="S68" s="66">
        <v>141.33000000000001</v>
      </c>
    </row>
    <row r="69" spans="1:19" x14ac:dyDescent="0.35">
      <c r="A69" s="76">
        <v>45716</v>
      </c>
      <c r="B69" s="65" t="s">
        <v>266</v>
      </c>
      <c r="C69" s="66">
        <v>128.77000000000001</v>
      </c>
      <c r="D69" s="66">
        <v>115.25</v>
      </c>
      <c r="E69" s="66">
        <v>121.52</v>
      </c>
      <c r="F69" s="66">
        <v>123.83</v>
      </c>
      <c r="G69" s="66">
        <v>128.78</v>
      </c>
      <c r="H69" s="66">
        <v>112.22</v>
      </c>
      <c r="I69" s="66">
        <v>122.08</v>
      </c>
      <c r="J69" s="66">
        <v>63.86</v>
      </c>
      <c r="K69" s="66">
        <v>130.94</v>
      </c>
      <c r="L69" s="66">
        <v>129.51</v>
      </c>
      <c r="M69" s="66">
        <v>73.900000000000006</v>
      </c>
      <c r="N69" s="66">
        <v>134.24</v>
      </c>
      <c r="O69" s="66">
        <v>126.86</v>
      </c>
      <c r="P69" s="65" t="s">
        <v>208</v>
      </c>
      <c r="Q69" s="66">
        <v>131.19</v>
      </c>
      <c r="R69" s="66">
        <v>136.37</v>
      </c>
      <c r="S69" s="66">
        <v>156.26</v>
      </c>
    </row>
    <row r="70" spans="1:19" x14ac:dyDescent="0.35">
      <c r="A70" s="76">
        <v>45717</v>
      </c>
      <c r="B70" s="65" t="s">
        <v>267</v>
      </c>
      <c r="C70" s="66">
        <v>123.65</v>
      </c>
      <c r="D70" s="66">
        <v>105.8</v>
      </c>
      <c r="E70" s="66">
        <v>116.02</v>
      </c>
      <c r="F70" s="66">
        <v>120.58</v>
      </c>
      <c r="G70" s="66">
        <v>122.64</v>
      </c>
      <c r="H70" s="66">
        <v>97.34</v>
      </c>
      <c r="I70" s="66">
        <v>119.26</v>
      </c>
      <c r="J70" s="66">
        <v>44.02</v>
      </c>
      <c r="K70" s="66">
        <v>127.3</v>
      </c>
      <c r="L70" s="66">
        <v>126.81</v>
      </c>
      <c r="M70" s="66">
        <v>39.630000000000003</v>
      </c>
      <c r="N70" s="66">
        <v>127.47</v>
      </c>
      <c r="O70" s="66">
        <v>122.77</v>
      </c>
      <c r="P70" s="65" t="s">
        <v>208</v>
      </c>
      <c r="Q70" s="66">
        <v>129.80000000000001</v>
      </c>
      <c r="R70" s="66">
        <v>131.03</v>
      </c>
      <c r="S70" s="66">
        <v>143.22</v>
      </c>
    </row>
    <row r="71" spans="1:19" x14ac:dyDescent="0.35">
      <c r="A71" s="76">
        <v>45718</v>
      </c>
      <c r="B71" s="65" t="s">
        <v>268</v>
      </c>
      <c r="C71" s="66">
        <v>91.12</v>
      </c>
      <c r="D71" s="66">
        <v>75.37</v>
      </c>
      <c r="E71" s="66">
        <v>90.08</v>
      </c>
      <c r="F71" s="66">
        <v>77.66</v>
      </c>
      <c r="G71" s="66">
        <v>52.67</v>
      </c>
      <c r="H71" s="66">
        <v>91.24</v>
      </c>
      <c r="I71" s="66">
        <v>90.43</v>
      </c>
      <c r="J71" s="66">
        <v>39.47</v>
      </c>
      <c r="K71" s="66">
        <v>98</v>
      </c>
      <c r="L71" s="66">
        <v>91.19</v>
      </c>
      <c r="M71" s="66">
        <v>3.45</v>
      </c>
      <c r="N71" s="66">
        <v>104.81</v>
      </c>
      <c r="O71" s="66">
        <v>90.13</v>
      </c>
      <c r="P71" s="65" t="s">
        <v>208</v>
      </c>
      <c r="Q71" s="66">
        <v>106.26</v>
      </c>
      <c r="R71" s="66">
        <v>103.38</v>
      </c>
      <c r="S71" s="66">
        <v>124.47</v>
      </c>
    </row>
    <row r="72" spans="1:19" x14ac:dyDescent="0.35">
      <c r="A72" s="76">
        <v>45719</v>
      </c>
      <c r="B72" s="65" t="s">
        <v>269</v>
      </c>
      <c r="C72" s="66">
        <v>106.45</v>
      </c>
      <c r="D72" s="66">
        <v>86.48</v>
      </c>
      <c r="E72" s="66">
        <v>111.82</v>
      </c>
      <c r="F72" s="66">
        <v>55.07</v>
      </c>
      <c r="G72" s="66">
        <v>48.72</v>
      </c>
      <c r="H72" s="66">
        <v>117.73</v>
      </c>
      <c r="I72" s="66">
        <v>105.46</v>
      </c>
      <c r="J72" s="66">
        <v>38.32</v>
      </c>
      <c r="K72" s="66">
        <v>123.77</v>
      </c>
      <c r="L72" s="66">
        <v>101.1</v>
      </c>
      <c r="M72" s="66">
        <v>10.46</v>
      </c>
      <c r="N72" s="66">
        <v>125.86</v>
      </c>
      <c r="O72" s="66">
        <v>112.91</v>
      </c>
      <c r="P72" s="65" t="s">
        <v>208</v>
      </c>
      <c r="Q72" s="66">
        <v>129.28</v>
      </c>
      <c r="R72" s="66">
        <v>127.79</v>
      </c>
      <c r="S72" s="66">
        <v>132.22999999999999</v>
      </c>
    </row>
    <row r="73" spans="1:19" x14ac:dyDescent="0.35">
      <c r="A73" s="76">
        <v>45720</v>
      </c>
      <c r="B73" s="65" t="s">
        <v>270</v>
      </c>
      <c r="C73" s="66">
        <v>107.77</v>
      </c>
      <c r="D73" s="66">
        <v>81.69</v>
      </c>
      <c r="E73" s="66">
        <v>108.86</v>
      </c>
      <c r="F73" s="66">
        <v>42.56</v>
      </c>
      <c r="G73" s="66">
        <v>36.659999999999997</v>
      </c>
      <c r="H73" s="66">
        <v>109.15</v>
      </c>
      <c r="I73" s="66">
        <v>105.68</v>
      </c>
      <c r="J73" s="66">
        <v>35.92</v>
      </c>
      <c r="K73" s="66">
        <v>122.57</v>
      </c>
      <c r="L73" s="66">
        <v>89.47</v>
      </c>
      <c r="M73" s="66">
        <v>7.04</v>
      </c>
      <c r="N73" s="66">
        <v>133.84</v>
      </c>
      <c r="O73" s="66">
        <v>106.81</v>
      </c>
      <c r="P73" s="65" t="s">
        <v>208</v>
      </c>
      <c r="Q73" s="66">
        <v>133.9</v>
      </c>
      <c r="R73" s="66">
        <v>129.46</v>
      </c>
      <c r="S73" s="66">
        <v>144.59</v>
      </c>
    </row>
    <row r="74" spans="1:19" x14ac:dyDescent="0.35">
      <c r="A74" s="76">
        <v>45721</v>
      </c>
      <c r="B74" s="65" t="s">
        <v>271</v>
      </c>
      <c r="C74" s="66">
        <v>78.55</v>
      </c>
      <c r="D74" s="66">
        <v>62.74</v>
      </c>
      <c r="E74" s="66">
        <v>86.42</v>
      </c>
      <c r="F74" s="66">
        <v>24.37</v>
      </c>
      <c r="G74" s="66">
        <v>18.84</v>
      </c>
      <c r="H74" s="66">
        <v>88.06</v>
      </c>
      <c r="I74" s="66">
        <v>79.430000000000007</v>
      </c>
      <c r="J74" s="66">
        <v>23.84</v>
      </c>
      <c r="K74" s="66">
        <v>96.77</v>
      </c>
      <c r="L74" s="66">
        <v>57.23</v>
      </c>
      <c r="M74" s="66">
        <v>5</v>
      </c>
      <c r="N74" s="66">
        <v>129.44999999999999</v>
      </c>
      <c r="O74" s="66">
        <v>80.680000000000007</v>
      </c>
      <c r="P74" s="65" t="s">
        <v>208</v>
      </c>
      <c r="Q74" s="66">
        <v>128.88</v>
      </c>
      <c r="R74" s="66">
        <v>104.28</v>
      </c>
      <c r="S74" s="66">
        <v>121.38</v>
      </c>
    </row>
    <row r="75" spans="1:19" x14ac:dyDescent="0.35">
      <c r="A75" s="76">
        <v>45722</v>
      </c>
      <c r="B75" s="65" t="s">
        <v>272</v>
      </c>
      <c r="C75" s="66">
        <v>89.82</v>
      </c>
      <c r="D75" s="66">
        <v>76.099999999999994</v>
      </c>
      <c r="E75" s="66">
        <v>84.49</v>
      </c>
      <c r="F75" s="66">
        <v>71.03</v>
      </c>
      <c r="G75" s="66">
        <v>73.64</v>
      </c>
      <c r="H75" s="66">
        <v>72.19</v>
      </c>
      <c r="I75" s="66">
        <v>84.71</v>
      </c>
      <c r="J75" s="66">
        <v>35.68</v>
      </c>
      <c r="K75" s="66">
        <v>97.96</v>
      </c>
      <c r="L75" s="66">
        <v>84.83</v>
      </c>
      <c r="M75" s="66">
        <v>24.34</v>
      </c>
      <c r="N75" s="66">
        <v>121.26</v>
      </c>
      <c r="O75" s="66">
        <v>86.99</v>
      </c>
      <c r="P75" s="65" t="s">
        <v>208</v>
      </c>
      <c r="Q75" s="66">
        <v>126</v>
      </c>
      <c r="R75" s="66">
        <v>105.65</v>
      </c>
      <c r="S75" s="66">
        <v>126.23</v>
      </c>
    </row>
    <row r="76" spans="1:19" x14ac:dyDescent="0.35">
      <c r="A76" s="76">
        <v>45723</v>
      </c>
      <c r="B76" s="65" t="s">
        <v>273</v>
      </c>
      <c r="C76" s="66">
        <v>103.99</v>
      </c>
      <c r="D76" s="66">
        <v>87.15</v>
      </c>
      <c r="E76" s="66">
        <v>90.55</v>
      </c>
      <c r="F76" s="66">
        <v>96.09</v>
      </c>
      <c r="G76" s="66">
        <v>103.96</v>
      </c>
      <c r="H76" s="66">
        <v>59.84</v>
      </c>
      <c r="I76" s="66">
        <v>94.48</v>
      </c>
      <c r="J76" s="66">
        <v>37.549999999999997</v>
      </c>
      <c r="K76" s="66">
        <v>108.66</v>
      </c>
      <c r="L76" s="66">
        <v>113.66</v>
      </c>
      <c r="M76" s="66">
        <v>34.03</v>
      </c>
      <c r="N76" s="66">
        <v>114.23</v>
      </c>
      <c r="O76" s="66">
        <v>105.61</v>
      </c>
      <c r="P76" s="65" t="s">
        <v>208</v>
      </c>
      <c r="Q76" s="66">
        <v>123.82</v>
      </c>
      <c r="R76" s="66">
        <v>111.01</v>
      </c>
      <c r="S76" s="66">
        <v>112.88</v>
      </c>
    </row>
    <row r="77" spans="1:19" x14ac:dyDescent="0.35">
      <c r="A77" s="76">
        <v>45724</v>
      </c>
      <c r="B77" s="65" t="s">
        <v>274</v>
      </c>
      <c r="C77" s="66">
        <v>90.69</v>
      </c>
      <c r="D77" s="66">
        <v>75.290000000000006</v>
      </c>
      <c r="E77" s="66">
        <v>74.510000000000005</v>
      </c>
      <c r="F77" s="66">
        <v>90.15</v>
      </c>
      <c r="G77" s="66">
        <v>90.69</v>
      </c>
      <c r="H77" s="66">
        <v>37.1</v>
      </c>
      <c r="I77" s="66">
        <v>80.37</v>
      </c>
      <c r="J77" s="66">
        <v>38.979999999999997</v>
      </c>
      <c r="K77" s="66">
        <v>97.25</v>
      </c>
      <c r="L77" s="66">
        <v>98.49</v>
      </c>
      <c r="M77" s="66">
        <v>27.02</v>
      </c>
      <c r="N77" s="66">
        <v>102.24</v>
      </c>
      <c r="O77" s="66">
        <v>91.39</v>
      </c>
      <c r="P77" s="65" t="s">
        <v>208</v>
      </c>
      <c r="Q77" s="66">
        <v>105.62</v>
      </c>
      <c r="R77" s="66">
        <v>102.46</v>
      </c>
      <c r="S77" s="66">
        <v>113.39</v>
      </c>
    </row>
    <row r="78" spans="1:19" x14ac:dyDescent="0.35">
      <c r="A78" s="76">
        <v>45725</v>
      </c>
      <c r="B78" s="65" t="s">
        <v>275</v>
      </c>
      <c r="C78" s="66">
        <v>77.209999999999994</v>
      </c>
      <c r="D78" s="66">
        <v>67.25</v>
      </c>
      <c r="E78" s="66">
        <v>67.97</v>
      </c>
      <c r="F78" s="66">
        <v>76.290000000000006</v>
      </c>
      <c r="G78" s="66">
        <v>75.06</v>
      </c>
      <c r="H78" s="66">
        <v>46.51</v>
      </c>
      <c r="I78" s="66">
        <v>72.819999999999993</v>
      </c>
      <c r="J78" s="66">
        <v>38.909999999999997</v>
      </c>
      <c r="K78" s="66">
        <v>81.010000000000005</v>
      </c>
      <c r="L78" s="66">
        <v>79.84</v>
      </c>
      <c r="M78" s="66">
        <v>41.42</v>
      </c>
      <c r="N78" s="66">
        <v>81.709999999999994</v>
      </c>
      <c r="O78" s="66">
        <v>78.180000000000007</v>
      </c>
      <c r="P78" s="65" t="s">
        <v>208</v>
      </c>
      <c r="Q78" s="66">
        <v>111.43</v>
      </c>
      <c r="R78" s="66">
        <v>83.27</v>
      </c>
      <c r="S78" s="66">
        <v>85.75</v>
      </c>
    </row>
    <row r="79" spans="1:19" x14ac:dyDescent="0.35">
      <c r="A79" s="76">
        <v>45726</v>
      </c>
      <c r="B79" s="65" t="s">
        <v>276</v>
      </c>
      <c r="C79" s="66">
        <v>112.86</v>
      </c>
      <c r="D79" s="66">
        <v>102.78</v>
      </c>
      <c r="E79" s="66">
        <v>105.09</v>
      </c>
      <c r="F79" s="66">
        <v>108.81</v>
      </c>
      <c r="G79" s="66">
        <v>112.46</v>
      </c>
      <c r="H79" s="66">
        <v>92.99</v>
      </c>
      <c r="I79" s="66">
        <v>107.31</v>
      </c>
      <c r="J79" s="66">
        <v>50.48</v>
      </c>
      <c r="K79" s="66">
        <v>114.17</v>
      </c>
      <c r="L79" s="66">
        <v>113.05</v>
      </c>
      <c r="M79" s="66">
        <v>89.41</v>
      </c>
      <c r="N79" s="66">
        <v>123.59</v>
      </c>
      <c r="O79" s="66">
        <v>113.18</v>
      </c>
      <c r="P79" s="65" t="s">
        <v>208</v>
      </c>
      <c r="Q79" s="66">
        <v>128.99</v>
      </c>
      <c r="R79" s="66">
        <v>113.82</v>
      </c>
      <c r="S79" s="66">
        <v>112.72</v>
      </c>
    </row>
    <row r="80" spans="1:19" x14ac:dyDescent="0.35">
      <c r="A80" s="76">
        <v>45727</v>
      </c>
      <c r="B80" s="65" t="s">
        <v>277</v>
      </c>
      <c r="C80" s="66">
        <v>125.3</v>
      </c>
      <c r="D80" s="66">
        <v>114.75</v>
      </c>
      <c r="E80" s="66">
        <v>113.17</v>
      </c>
      <c r="F80" s="66">
        <v>120.77</v>
      </c>
      <c r="G80" s="66">
        <v>125.33</v>
      </c>
      <c r="H80" s="66">
        <v>101.12</v>
      </c>
      <c r="I80" s="66">
        <v>115.81</v>
      </c>
      <c r="J80" s="66">
        <v>80.03</v>
      </c>
      <c r="K80" s="66">
        <v>124.55</v>
      </c>
      <c r="L80" s="66">
        <v>123.67</v>
      </c>
      <c r="M80" s="66">
        <v>107.05</v>
      </c>
      <c r="N80" s="66">
        <v>125.48</v>
      </c>
      <c r="O80" s="66">
        <v>125.28</v>
      </c>
      <c r="P80" s="65" t="s">
        <v>208</v>
      </c>
      <c r="Q80" s="66">
        <v>125.02</v>
      </c>
      <c r="R80" s="66">
        <v>124.34</v>
      </c>
      <c r="S80" s="66">
        <v>124.85</v>
      </c>
    </row>
    <row r="81" spans="1:19" x14ac:dyDescent="0.35">
      <c r="A81" s="76">
        <v>45728</v>
      </c>
      <c r="B81" s="65" t="s">
        <v>278</v>
      </c>
      <c r="C81" s="66">
        <v>124.87</v>
      </c>
      <c r="D81" s="66">
        <v>119.81</v>
      </c>
      <c r="E81" s="66">
        <v>117.22</v>
      </c>
      <c r="F81" s="66">
        <v>122.4</v>
      </c>
      <c r="G81" s="66">
        <v>124.93</v>
      </c>
      <c r="H81" s="66">
        <v>111.51</v>
      </c>
      <c r="I81" s="66">
        <v>118.73</v>
      </c>
      <c r="J81" s="66">
        <v>97.6</v>
      </c>
      <c r="K81" s="66">
        <v>123.86</v>
      </c>
      <c r="L81" s="66">
        <v>124.31</v>
      </c>
      <c r="M81" s="66">
        <v>123.72</v>
      </c>
      <c r="N81" s="66">
        <v>129.36000000000001</v>
      </c>
      <c r="O81" s="66">
        <v>124.31</v>
      </c>
      <c r="P81" s="65" t="s">
        <v>208</v>
      </c>
      <c r="Q81" s="66">
        <v>127.76</v>
      </c>
      <c r="R81" s="66">
        <v>123.29</v>
      </c>
      <c r="S81" s="66">
        <v>123.9</v>
      </c>
    </row>
    <row r="82" spans="1:19" x14ac:dyDescent="0.35">
      <c r="A82" s="76">
        <v>45729</v>
      </c>
      <c r="B82" s="65" t="s">
        <v>279</v>
      </c>
      <c r="C82" s="66">
        <v>125.14</v>
      </c>
      <c r="D82" s="66">
        <v>122.71</v>
      </c>
      <c r="E82" s="66">
        <v>123.28</v>
      </c>
      <c r="F82" s="66">
        <v>125.14</v>
      </c>
      <c r="G82" s="66">
        <v>125.58</v>
      </c>
      <c r="H82" s="66">
        <v>121.68</v>
      </c>
      <c r="I82" s="66">
        <v>121.37</v>
      </c>
      <c r="J82" s="66">
        <v>113.26</v>
      </c>
      <c r="K82" s="66">
        <v>124.33</v>
      </c>
      <c r="L82" s="66">
        <v>123.9</v>
      </c>
      <c r="M82" s="66">
        <v>124.17</v>
      </c>
      <c r="N82" s="66">
        <v>122.3</v>
      </c>
      <c r="O82" s="66">
        <v>124.79</v>
      </c>
      <c r="P82" s="65" t="s">
        <v>208</v>
      </c>
      <c r="Q82" s="66">
        <v>127.03</v>
      </c>
      <c r="R82" s="66">
        <v>124.17</v>
      </c>
      <c r="S82" s="66">
        <v>125</v>
      </c>
    </row>
    <row r="83" spans="1:19" x14ac:dyDescent="0.35">
      <c r="A83" s="76">
        <v>45730</v>
      </c>
      <c r="B83" s="65" t="s">
        <v>280</v>
      </c>
      <c r="C83" s="66">
        <v>121.23</v>
      </c>
      <c r="D83" s="66">
        <v>116.39</v>
      </c>
      <c r="E83" s="66">
        <v>119.32</v>
      </c>
      <c r="F83" s="66">
        <v>120.78</v>
      </c>
      <c r="G83" s="66">
        <v>121.29</v>
      </c>
      <c r="H83" s="66">
        <v>115.78</v>
      </c>
      <c r="I83" s="66">
        <v>118.35</v>
      </c>
      <c r="J83" s="66">
        <v>75.37</v>
      </c>
      <c r="K83" s="66">
        <v>120.92</v>
      </c>
      <c r="L83" s="66">
        <v>122.03</v>
      </c>
      <c r="M83" s="66">
        <v>116.53</v>
      </c>
      <c r="N83" s="66">
        <v>128.09</v>
      </c>
      <c r="O83" s="66">
        <v>121.79</v>
      </c>
      <c r="P83" s="65" t="s">
        <v>208</v>
      </c>
      <c r="Q83" s="66">
        <v>123.93</v>
      </c>
      <c r="R83" s="66">
        <v>119.35</v>
      </c>
      <c r="S83" s="66">
        <v>123.22</v>
      </c>
    </row>
    <row r="84" spans="1:19" x14ac:dyDescent="0.35">
      <c r="A84" s="76">
        <v>45731</v>
      </c>
      <c r="B84" s="65" t="s">
        <v>281</v>
      </c>
      <c r="C84" s="66">
        <v>92.92</v>
      </c>
      <c r="D84" s="66">
        <v>86.62</v>
      </c>
      <c r="E84" s="66">
        <v>91.72</v>
      </c>
      <c r="F84" s="66">
        <v>92.74</v>
      </c>
      <c r="G84" s="66">
        <v>92.89</v>
      </c>
      <c r="H84" s="66">
        <v>88.64</v>
      </c>
      <c r="I84" s="66">
        <v>92.08</v>
      </c>
      <c r="J84" s="66">
        <v>45.85</v>
      </c>
      <c r="K84" s="66">
        <v>94.18</v>
      </c>
      <c r="L84" s="66">
        <v>109.43</v>
      </c>
      <c r="M84" s="66">
        <v>35</v>
      </c>
      <c r="N84" s="66">
        <v>116.95</v>
      </c>
      <c r="O84" s="66">
        <v>93.33</v>
      </c>
      <c r="P84" s="65" t="s">
        <v>208</v>
      </c>
      <c r="Q84" s="66">
        <v>117.82</v>
      </c>
      <c r="R84" s="66">
        <v>94.81</v>
      </c>
      <c r="S84" s="66">
        <v>93.25</v>
      </c>
    </row>
    <row r="85" spans="1:19" x14ac:dyDescent="0.35">
      <c r="A85" s="76">
        <v>45732</v>
      </c>
      <c r="B85" s="65" t="s">
        <v>282</v>
      </c>
      <c r="C85" s="66">
        <v>72.03</v>
      </c>
      <c r="D85" s="66">
        <v>64.34</v>
      </c>
      <c r="E85" s="66">
        <v>72.25</v>
      </c>
      <c r="F85" s="66">
        <v>62.83</v>
      </c>
      <c r="G85" s="66">
        <v>42.94</v>
      </c>
      <c r="H85" s="66">
        <v>73.13</v>
      </c>
      <c r="I85" s="66">
        <v>69.87</v>
      </c>
      <c r="J85" s="66">
        <v>42.37</v>
      </c>
      <c r="K85" s="66">
        <v>74.489999999999995</v>
      </c>
      <c r="L85" s="66">
        <v>74.19</v>
      </c>
      <c r="M85" s="66">
        <v>26.28</v>
      </c>
      <c r="N85" s="66">
        <v>93.98</v>
      </c>
      <c r="O85" s="66">
        <v>75.37</v>
      </c>
      <c r="P85" s="65" t="s">
        <v>208</v>
      </c>
      <c r="Q85" s="66">
        <v>86.99</v>
      </c>
      <c r="R85" s="66">
        <v>74.7</v>
      </c>
      <c r="S85" s="66">
        <v>74.58</v>
      </c>
    </row>
    <row r="86" spans="1:19" x14ac:dyDescent="0.35">
      <c r="A86" s="76">
        <v>45733</v>
      </c>
      <c r="B86" s="65" t="s">
        <v>283</v>
      </c>
      <c r="C86" s="66">
        <v>99.11</v>
      </c>
      <c r="D86" s="66">
        <v>95.63</v>
      </c>
      <c r="E86" s="66">
        <v>108.36</v>
      </c>
      <c r="F86" s="66">
        <v>97.14</v>
      </c>
      <c r="G86" s="66">
        <v>95.21</v>
      </c>
      <c r="H86" s="66">
        <v>97.41</v>
      </c>
      <c r="I86" s="66">
        <v>95.03</v>
      </c>
      <c r="J86" s="66">
        <v>48.42</v>
      </c>
      <c r="K86" s="66">
        <v>105.29</v>
      </c>
      <c r="L86" s="66">
        <v>94.06</v>
      </c>
      <c r="M86" s="66">
        <v>81.400000000000006</v>
      </c>
      <c r="N86" s="66">
        <v>125.51</v>
      </c>
      <c r="O86" s="66">
        <v>104.09</v>
      </c>
      <c r="P86" s="65" t="s">
        <v>208</v>
      </c>
      <c r="Q86" s="66">
        <v>121.45</v>
      </c>
      <c r="R86" s="66">
        <v>104.36</v>
      </c>
      <c r="S86" s="66">
        <v>104.32</v>
      </c>
    </row>
    <row r="87" spans="1:19" x14ac:dyDescent="0.35">
      <c r="A87" s="76">
        <v>45734</v>
      </c>
      <c r="B87" s="65" t="s">
        <v>284</v>
      </c>
      <c r="C87" s="66">
        <v>90.14</v>
      </c>
      <c r="D87" s="66">
        <v>84.09</v>
      </c>
      <c r="E87" s="66">
        <v>83.96</v>
      </c>
      <c r="F87" s="66">
        <v>86.51</v>
      </c>
      <c r="G87" s="66">
        <v>86.64</v>
      </c>
      <c r="H87" s="66">
        <v>76.400000000000006</v>
      </c>
      <c r="I87" s="66">
        <v>84.85</v>
      </c>
      <c r="J87" s="66">
        <v>46.23</v>
      </c>
      <c r="K87" s="66">
        <v>93.26</v>
      </c>
      <c r="L87" s="66">
        <v>90.4</v>
      </c>
      <c r="M87" s="66">
        <v>63.8</v>
      </c>
      <c r="N87" s="66">
        <v>120.64</v>
      </c>
      <c r="O87" s="66">
        <v>92.27</v>
      </c>
      <c r="P87" s="65" t="s">
        <v>208</v>
      </c>
      <c r="Q87" s="66">
        <v>120.44</v>
      </c>
      <c r="R87" s="66">
        <v>93.85</v>
      </c>
      <c r="S87" s="66">
        <v>92.93</v>
      </c>
    </row>
    <row r="88" spans="1:19" x14ac:dyDescent="0.35">
      <c r="A88" s="76">
        <v>45735</v>
      </c>
      <c r="B88" s="65" t="s">
        <v>285</v>
      </c>
      <c r="C88" s="66">
        <v>104.39</v>
      </c>
      <c r="D88" s="66">
        <v>93.16</v>
      </c>
      <c r="E88" s="66">
        <v>94</v>
      </c>
      <c r="F88" s="66">
        <v>100.5</v>
      </c>
      <c r="G88" s="66">
        <v>104.5</v>
      </c>
      <c r="H88" s="66">
        <v>69.09</v>
      </c>
      <c r="I88" s="66">
        <v>97.7</v>
      </c>
      <c r="J88" s="66">
        <v>48.06</v>
      </c>
      <c r="K88" s="66">
        <v>106.37</v>
      </c>
      <c r="L88" s="66">
        <v>102.14</v>
      </c>
      <c r="M88" s="66">
        <v>81.61</v>
      </c>
      <c r="N88" s="66">
        <v>115.62</v>
      </c>
      <c r="O88" s="66">
        <v>105.2</v>
      </c>
      <c r="P88" s="65" t="s">
        <v>208</v>
      </c>
      <c r="Q88" s="66">
        <v>124.1</v>
      </c>
      <c r="R88" s="66">
        <v>104.65</v>
      </c>
      <c r="S88" s="66">
        <v>105.97</v>
      </c>
    </row>
    <row r="89" spans="1:19" x14ac:dyDescent="0.35">
      <c r="A89" s="76">
        <v>45736</v>
      </c>
      <c r="B89" s="65" t="s">
        <v>286</v>
      </c>
      <c r="C89" s="66">
        <v>108.3</v>
      </c>
      <c r="D89" s="66">
        <v>95.28</v>
      </c>
      <c r="E89" s="66">
        <v>88.21</v>
      </c>
      <c r="F89" s="66">
        <v>103.73</v>
      </c>
      <c r="G89" s="66">
        <v>111.63</v>
      </c>
      <c r="H89" s="66">
        <v>45.76</v>
      </c>
      <c r="I89" s="66">
        <v>98.82</v>
      </c>
      <c r="J89" s="66">
        <v>51.66</v>
      </c>
      <c r="K89" s="66">
        <v>110.18</v>
      </c>
      <c r="L89" s="66">
        <v>109.75</v>
      </c>
      <c r="M89" s="66">
        <v>93.2</v>
      </c>
      <c r="N89" s="66">
        <v>125.81</v>
      </c>
      <c r="O89" s="66">
        <v>109.32</v>
      </c>
      <c r="P89" s="65" t="s">
        <v>208</v>
      </c>
      <c r="Q89" s="66">
        <v>124.94</v>
      </c>
      <c r="R89" s="66">
        <v>111.77</v>
      </c>
      <c r="S89" s="66">
        <v>113.7</v>
      </c>
    </row>
    <row r="90" spans="1:19" x14ac:dyDescent="0.35">
      <c r="A90" s="76">
        <v>45737</v>
      </c>
      <c r="B90" s="65" t="s">
        <v>287</v>
      </c>
      <c r="C90" s="66">
        <v>73.52</v>
      </c>
      <c r="D90" s="66">
        <v>76.959999999999994</v>
      </c>
      <c r="E90" s="66">
        <v>63</v>
      </c>
      <c r="F90" s="66">
        <v>67.099999999999994</v>
      </c>
      <c r="G90" s="66">
        <v>70.900000000000006</v>
      </c>
      <c r="H90" s="66">
        <v>30.67</v>
      </c>
      <c r="I90" s="66">
        <v>64.56</v>
      </c>
      <c r="J90" s="66">
        <v>48.75</v>
      </c>
      <c r="K90" s="66">
        <v>101.48</v>
      </c>
      <c r="L90" s="66">
        <v>102.74</v>
      </c>
      <c r="M90" s="66">
        <v>69.83</v>
      </c>
      <c r="N90" s="66">
        <v>127.54</v>
      </c>
      <c r="O90" s="66">
        <v>100.02</v>
      </c>
      <c r="P90" s="65" t="s">
        <v>208</v>
      </c>
      <c r="Q90" s="66">
        <v>130.84</v>
      </c>
      <c r="R90" s="66">
        <v>104.78</v>
      </c>
      <c r="S90" s="66">
        <v>110.71</v>
      </c>
    </row>
    <row r="91" spans="1:19" x14ac:dyDescent="0.35">
      <c r="A91" s="76">
        <v>45738</v>
      </c>
      <c r="B91" s="65" t="s">
        <v>288</v>
      </c>
      <c r="C91" s="66">
        <v>14.96</v>
      </c>
      <c r="D91" s="66">
        <v>45.15</v>
      </c>
      <c r="E91" s="66">
        <v>41.86</v>
      </c>
      <c r="F91" s="66">
        <v>12.44</v>
      </c>
      <c r="G91" s="66">
        <v>9.1</v>
      </c>
      <c r="H91" s="66">
        <v>29.59</v>
      </c>
      <c r="I91" s="66">
        <v>39.94</v>
      </c>
      <c r="J91" s="66">
        <v>21.52</v>
      </c>
      <c r="K91" s="66">
        <v>89.75</v>
      </c>
      <c r="L91" s="66">
        <v>46.18</v>
      </c>
      <c r="M91" s="66">
        <v>8.36</v>
      </c>
      <c r="N91" s="66">
        <v>119.36</v>
      </c>
      <c r="O91" s="66">
        <v>78.59</v>
      </c>
      <c r="P91" s="65" t="s">
        <v>208</v>
      </c>
      <c r="Q91" s="66">
        <v>124.56</v>
      </c>
      <c r="R91" s="66">
        <v>82.22</v>
      </c>
      <c r="S91" s="66">
        <v>84</v>
      </c>
    </row>
    <row r="92" spans="1:19" x14ac:dyDescent="0.35">
      <c r="A92" s="76">
        <v>45739</v>
      </c>
      <c r="B92" s="65" t="s">
        <v>289</v>
      </c>
      <c r="C92" s="66">
        <v>54.96</v>
      </c>
      <c r="D92" s="66">
        <v>52.64</v>
      </c>
      <c r="E92" s="66">
        <v>70.540000000000006</v>
      </c>
      <c r="F92" s="66">
        <v>49.54</v>
      </c>
      <c r="G92" s="66">
        <v>12.69</v>
      </c>
      <c r="H92" s="66">
        <v>49.38</v>
      </c>
      <c r="I92" s="66">
        <v>80.319999999999993</v>
      </c>
      <c r="J92" s="66">
        <v>37.270000000000003</v>
      </c>
      <c r="K92" s="66">
        <v>62.47</v>
      </c>
      <c r="L92" s="66">
        <v>52.59</v>
      </c>
      <c r="M92" s="66">
        <v>11.91</v>
      </c>
      <c r="N92" s="66">
        <v>90.75</v>
      </c>
      <c r="O92" s="66">
        <v>61.57</v>
      </c>
      <c r="P92" s="65" t="s">
        <v>208</v>
      </c>
      <c r="Q92" s="66">
        <v>120.7</v>
      </c>
      <c r="R92" s="66">
        <v>62.9</v>
      </c>
      <c r="S92" s="66">
        <v>61.77</v>
      </c>
    </row>
    <row r="93" spans="1:19" x14ac:dyDescent="0.35">
      <c r="A93" s="76">
        <v>45740</v>
      </c>
      <c r="B93" s="65" t="s">
        <v>290</v>
      </c>
      <c r="C93" s="66">
        <v>129.88</v>
      </c>
      <c r="D93" s="66">
        <v>116.73</v>
      </c>
      <c r="E93" s="66">
        <v>121.44</v>
      </c>
      <c r="F93" s="66">
        <v>128.13</v>
      </c>
      <c r="G93" s="66">
        <v>129.91999999999999</v>
      </c>
      <c r="H93" s="66">
        <v>102.97</v>
      </c>
      <c r="I93" s="66">
        <v>124.67</v>
      </c>
      <c r="J93" s="66">
        <v>57.13</v>
      </c>
      <c r="K93" s="66">
        <v>131.99</v>
      </c>
      <c r="L93" s="66">
        <v>131.02000000000001</v>
      </c>
      <c r="M93" s="66">
        <v>98.02</v>
      </c>
      <c r="N93" s="66">
        <v>127.96</v>
      </c>
      <c r="O93" s="66">
        <v>130.77000000000001</v>
      </c>
      <c r="P93" s="65" t="s">
        <v>208</v>
      </c>
      <c r="Q93" s="66">
        <v>131.35</v>
      </c>
      <c r="R93" s="66">
        <v>131.91999999999999</v>
      </c>
      <c r="S93" s="66">
        <v>131.65</v>
      </c>
    </row>
    <row r="94" spans="1:19" x14ac:dyDescent="0.35">
      <c r="A94" s="76">
        <v>45741</v>
      </c>
      <c r="B94" s="65" t="s">
        <v>291</v>
      </c>
      <c r="C94" s="66">
        <v>111.78</v>
      </c>
      <c r="D94" s="66">
        <v>100.36</v>
      </c>
      <c r="E94" s="66">
        <v>107.87</v>
      </c>
      <c r="F94" s="66">
        <v>96.26</v>
      </c>
      <c r="G94" s="66">
        <v>99.06</v>
      </c>
      <c r="H94" s="66">
        <v>93.22</v>
      </c>
      <c r="I94" s="66">
        <v>108.54</v>
      </c>
      <c r="J94" s="66">
        <v>50.89</v>
      </c>
      <c r="K94" s="66">
        <v>124.76</v>
      </c>
      <c r="L94" s="66">
        <v>108.67</v>
      </c>
      <c r="M94" s="66">
        <v>70.75</v>
      </c>
      <c r="N94" s="66">
        <v>125.31</v>
      </c>
      <c r="O94" s="66">
        <v>118.62</v>
      </c>
      <c r="P94" s="65" t="s">
        <v>208</v>
      </c>
      <c r="Q94" s="66">
        <v>126.91</v>
      </c>
      <c r="R94" s="66">
        <v>123.19</v>
      </c>
      <c r="S94" s="66">
        <v>123.79</v>
      </c>
    </row>
    <row r="95" spans="1:19" x14ac:dyDescent="0.35">
      <c r="A95" s="76">
        <v>45742</v>
      </c>
      <c r="B95" s="65" t="s">
        <v>292</v>
      </c>
      <c r="C95" s="66">
        <v>114.53</v>
      </c>
      <c r="D95" s="66">
        <v>105.56</v>
      </c>
      <c r="E95" s="66">
        <v>111.3</v>
      </c>
      <c r="F95" s="66">
        <v>99.58</v>
      </c>
      <c r="G95" s="66">
        <v>106.02</v>
      </c>
      <c r="H95" s="66">
        <v>98.88</v>
      </c>
      <c r="I95" s="66">
        <v>112.63</v>
      </c>
      <c r="J95" s="66">
        <v>53.85</v>
      </c>
      <c r="K95" s="66">
        <v>117.36</v>
      </c>
      <c r="L95" s="66">
        <v>118.22</v>
      </c>
      <c r="M95" s="66">
        <v>103.15</v>
      </c>
      <c r="N95" s="66">
        <v>124.37</v>
      </c>
      <c r="O95" s="66">
        <v>115.81</v>
      </c>
      <c r="P95" s="65" t="s">
        <v>208</v>
      </c>
      <c r="Q95" s="66">
        <v>125.9</v>
      </c>
      <c r="R95" s="66">
        <v>118.12</v>
      </c>
      <c r="S95" s="66">
        <v>118.71</v>
      </c>
    </row>
    <row r="96" spans="1:19" x14ac:dyDescent="0.35">
      <c r="A96" s="76">
        <v>45743</v>
      </c>
      <c r="B96" s="65" t="s">
        <v>293</v>
      </c>
      <c r="C96" s="66">
        <v>98.97</v>
      </c>
      <c r="D96" s="66">
        <v>89.08</v>
      </c>
      <c r="E96" s="66">
        <v>95.63</v>
      </c>
      <c r="F96" s="66">
        <v>91.18</v>
      </c>
      <c r="G96" s="66">
        <v>91.25</v>
      </c>
      <c r="H96" s="66">
        <v>81.12</v>
      </c>
      <c r="I96" s="66">
        <v>95.44</v>
      </c>
      <c r="J96" s="66">
        <v>49.58</v>
      </c>
      <c r="K96" s="66">
        <v>104.79</v>
      </c>
      <c r="L96" s="66">
        <v>112.8</v>
      </c>
      <c r="M96" s="66">
        <v>38.43</v>
      </c>
      <c r="N96" s="66">
        <v>118.74</v>
      </c>
      <c r="O96" s="66">
        <v>100.93</v>
      </c>
      <c r="P96" s="65" t="s">
        <v>208</v>
      </c>
      <c r="Q96" s="66">
        <v>123.58</v>
      </c>
      <c r="R96" s="66">
        <v>103.42</v>
      </c>
      <c r="S96" s="66">
        <v>102.48</v>
      </c>
    </row>
    <row r="97" spans="1:19" x14ac:dyDescent="0.35">
      <c r="A97" s="76">
        <v>45744</v>
      </c>
      <c r="B97" s="65" t="s">
        <v>294</v>
      </c>
      <c r="C97" s="66">
        <v>88.34</v>
      </c>
      <c r="D97" s="66">
        <v>78.83</v>
      </c>
      <c r="E97" s="66">
        <v>84.86</v>
      </c>
      <c r="F97" s="66">
        <v>74.069999999999993</v>
      </c>
      <c r="G97" s="66">
        <v>77.290000000000006</v>
      </c>
      <c r="H97" s="66">
        <v>63.51</v>
      </c>
      <c r="I97" s="66">
        <v>84.21</v>
      </c>
      <c r="J97" s="66">
        <v>47.16</v>
      </c>
      <c r="K97" s="66">
        <v>107.27</v>
      </c>
      <c r="L97" s="66">
        <v>89.63</v>
      </c>
      <c r="M97" s="66">
        <v>25.96</v>
      </c>
      <c r="N97" s="66">
        <v>116.01</v>
      </c>
      <c r="O97" s="66">
        <v>97.09</v>
      </c>
      <c r="P97" s="65" t="s">
        <v>208</v>
      </c>
      <c r="Q97" s="66">
        <v>116.72</v>
      </c>
      <c r="R97" s="66">
        <v>104.29</v>
      </c>
      <c r="S97" s="66">
        <v>102.29</v>
      </c>
    </row>
    <row r="98" spans="1:19" x14ac:dyDescent="0.35">
      <c r="A98" s="76">
        <v>45745</v>
      </c>
      <c r="B98" s="65" t="s">
        <v>295</v>
      </c>
      <c r="C98" s="66">
        <v>84.51</v>
      </c>
      <c r="D98" s="66">
        <v>76.290000000000006</v>
      </c>
      <c r="E98" s="66">
        <v>75.290000000000006</v>
      </c>
      <c r="F98" s="66">
        <v>80.87</v>
      </c>
      <c r="G98" s="66">
        <v>82.7</v>
      </c>
      <c r="H98" s="66">
        <v>41.19</v>
      </c>
      <c r="I98" s="66">
        <v>78.17</v>
      </c>
      <c r="J98" s="66">
        <v>46.01</v>
      </c>
      <c r="K98" s="66">
        <v>105.96</v>
      </c>
      <c r="L98" s="66">
        <v>89.69</v>
      </c>
      <c r="M98" s="66">
        <v>25.91</v>
      </c>
      <c r="N98" s="66">
        <v>117.13</v>
      </c>
      <c r="O98" s="66">
        <v>96.25</v>
      </c>
      <c r="P98" s="65" t="s">
        <v>208</v>
      </c>
      <c r="Q98" s="66">
        <v>122.92</v>
      </c>
      <c r="R98" s="66">
        <v>103.56</v>
      </c>
      <c r="S98" s="66">
        <v>104.16</v>
      </c>
    </row>
    <row r="99" spans="1:19" x14ac:dyDescent="0.35">
      <c r="A99" s="76">
        <v>45746</v>
      </c>
      <c r="B99" s="65" t="s">
        <v>296</v>
      </c>
      <c r="C99" s="66">
        <v>11.68</v>
      </c>
      <c r="D99" s="66">
        <v>27.14</v>
      </c>
      <c r="E99" s="66">
        <v>13.23</v>
      </c>
      <c r="F99" s="66">
        <v>11.34</v>
      </c>
      <c r="G99" s="66">
        <v>17.850000000000001</v>
      </c>
      <c r="H99" s="66">
        <v>17.309999999999999</v>
      </c>
      <c r="I99" s="66">
        <v>9.4600000000000009</v>
      </c>
      <c r="J99" s="66">
        <v>21.86</v>
      </c>
      <c r="K99" s="66">
        <v>18.329999999999998</v>
      </c>
      <c r="L99" s="66">
        <v>78.67</v>
      </c>
      <c r="M99" s="66">
        <v>17.91</v>
      </c>
      <c r="N99" s="66">
        <v>72.53</v>
      </c>
      <c r="O99" s="66">
        <v>20.059999999999999</v>
      </c>
      <c r="P99" s="65" t="s">
        <v>208</v>
      </c>
      <c r="Q99" s="66">
        <v>90.21</v>
      </c>
      <c r="R99" s="66">
        <v>18.98</v>
      </c>
      <c r="S99" s="66">
        <v>21.64</v>
      </c>
    </row>
    <row r="100" spans="1:19" x14ac:dyDescent="0.35">
      <c r="A100" s="76">
        <v>45747</v>
      </c>
      <c r="B100" s="65" t="s">
        <v>297</v>
      </c>
      <c r="C100" s="66">
        <v>104.4</v>
      </c>
      <c r="D100" s="66">
        <v>96.31</v>
      </c>
      <c r="E100" s="66">
        <v>91.8</v>
      </c>
      <c r="F100" s="66">
        <v>104.4</v>
      </c>
      <c r="G100" s="66">
        <v>100.89</v>
      </c>
      <c r="H100" s="66">
        <v>60.25</v>
      </c>
      <c r="I100" s="66">
        <v>89.44</v>
      </c>
      <c r="J100" s="66">
        <v>57.87</v>
      </c>
      <c r="K100" s="66">
        <v>108.53</v>
      </c>
      <c r="L100" s="66">
        <v>117.83</v>
      </c>
      <c r="M100" s="66">
        <v>102.67</v>
      </c>
      <c r="N100" s="66">
        <v>116.26</v>
      </c>
      <c r="O100" s="66">
        <v>109.48</v>
      </c>
      <c r="P100" s="65" t="s">
        <v>208</v>
      </c>
      <c r="Q100" s="66">
        <v>119.98</v>
      </c>
      <c r="R100" s="66">
        <v>113.45</v>
      </c>
      <c r="S100" s="66">
        <v>116.17</v>
      </c>
    </row>
    <row r="101" spans="1:19" x14ac:dyDescent="0.35">
      <c r="A101" s="76">
        <v>45748</v>
      </c>
      <c r="B101" s="65" t="s">
        <v>298</v>
      </c>
      <c r="C101" s="66">
        <v>94.22</v>
      </c>
      <c r="D101" s="66">
        <v>90.76</v>
      </c>
      <c r="E101" s="66">
        <v>80.28</v>
      </c>
      <c r="F101" s="66">
        <v>94.22</v>
      </c>
      <c r="G101" s="66">
        <v>94.22</v>
      </c>
      <c r="H101" s="66">
        <v>55.06</v>
      </c>
      <c r="I101" s="66">
        <v>82.19</v>
      </c>
      <c r="J101" s="66">
        <v>70.64</v>
      </c>
      <c r="K101" s="66">
        <v>106.63</v>
      </c>
      <c r="L101" s="66">
        <v>115.69</v>
      </c>
      <c r="M101" s="66">
        <v>84.11</v>
      </c>
      <c r="N101" s="66">
        <v>116.93</v>
      </c>
      <c r="O101" s="66">
        <v>98.44</v>
      </c>
      <c r="P101" s="65" t="s">
        <v>208</v>
      </c>
      <c r="Q101" s="66">
        <v>117.88</v>
      </c>
      <c r="R101" s="66">
        <v>104.47</v>
      </c>
      <c r="S101" s="66">
        <v>103.45</v>
      </c>
    </row>
    <row r="102" spans="1:19" x14ac:dyDescent="0.35">
      <c r="A102" s="76">
        <v>45749</v>
      </c>
      <c r="B102" s="65" t="s">
        <v>299</v>
      </c>
      <c r="C102" s="66">
        <v>61.62</v>
      </c>
      <c r="D102" s="66">
        <v>67.38</v>
      </c>
      <c r="E102" s="66">
        <v>49.44</v>
      </c>
      <c r="F102" s="66">
        <v>63.65</v>
      </c>
      <c r="G102" s="66">
        <v>63.53</v>
      </c>
      <c r="H102" s="66">
        <v>28.43</v>
      </c>
      <c r="I102" s="66">
        <v>51.27</v>
      </c>
      <c r="J102" s="66">
        <v>56.65</v>
      </c>
      <c r="K102" s="66">
        <v>95.87</v>
      </c>
      <c r="L102" s="66">
        <v>80.55</v>
      </c>
      <c r="M102" s="66">
        <v>58.27</v>
      </c>
      <c r="N102" s="66">
        <v>115.11</v>
      </c>
      <c r="O102" s="66">
        <v>78.45</v>
      </c>
      <c r="P102" s="65" t="s">
        <v>208</v>
      </c>
      <c r="Q102" s="66">
        <v>121.21</v>
      </c>
      <c r="R102" s="66">
        <v>89.58</v>
      </c>
      <c r="S102" s="66">
        <v>88.43</v>
      </c>
    </row>
    <row r="103" spans="1:19" x14ac:dyDescent="0.35">
      <c r="A103" s="76">
        <v>45750</v>
      </c>
      <c r="B103" s="65" t="s">
        <v>300</v>
      </c>
      <c r="C103" s="66">
        <v>77.5</v>
      </c>
      <c r="D103" s="66">
        <v>75.02</v>
      </c>
      <c r="E103" s="66">
        <v>69.77</v>
      </c>
      <c r="F103" s="66">
        <v>76.89</v>
      </c>
      <c r="G103" s="66">
        <v>77.5</v>
      </c>
      <c r="H103" s="66">
        <v>48.73</v>
      </c>
      <c r="I103" s="66">
        <v>72.08</v>
      </c>
      <c r="J103" s="66">
        <v>54.17</v>
      </c>
      <c r="K103" s="66">
        <v>83.94</v>
      </c>
      <c r="L103" s="66">
        <v>98.23</v>
      </c>
      <c r="M103" s="66">
        <v>56.01</v>
      </c>
      <c r="N103" s="66">
        <v>106.52</v>
      </c>
      <c r="O103" s="66">
        <v>81.37</v>
      </c>
      <c r="P103" s="65" t="s">
        <v>208</v>
      </c>
      <c r="Q103" s="66">
        <v>120.29</v>
      </c>
      <c r="R103" s="66">
        <v>85.42</v>
      </c>
      <c r="S103" s="66">
        <v>86.15</v>
      </c>
    </row>
    <row r="104" spans="1:19" x14ac:dyDescent="0.35">
      <c r="A104" s="76">
        <v>45751</v>
      </c>
      <c r="B104" s="65" t="s">
        <v>301</v>
      </c>
      <c r="C104" s="66">
        <v>89.91</v>
      </c>
      <c r="D104" s="66">
        <v>77.62</v>
      </c>
      <c r="E104" s="66">
        <v>79.97</v>
      </c>
      <c r="F104" s="66">
        <v>83.25</v>
      </c>
      <c r="G104" s="66">
        <v>85.39</v>
      </c>
      <c r="H104" s="66">
        <v>38.880000000000003</v>
      </c>
      <c r="I104" s="66">
        <v>82.6</v>
      </c>
      <c r="J104" s="66">
        <v>53.41</v>
      </c>
      <c r="K104" s="66">
        <v>93.08</v>
      </c>
      <c r="L104" s="66">
        <v>94.07</v>
      </c>
      <c r="M104" s="66">
        <v>53.74</v>
      </c>
      <c r="N104" s="66">
        <v>98.34</v>
      </c>
      <c r="O104" s="66">
        <v>91.06</v>
      </c>
      <c r="P104" s="65" t="s">
        <v>208</v>
      </c>
      <c r="Q104" s="66">
        <v>115.87</v>
      </c>
      <c r="R104" s="66">
        <v>96.81</v>
      </c>
      <c r="S104" s="66">
        <v>96.48</v>
      </c>
    </row>
    <row r="105" spans="1:19" x14ac:dyDescent="0.35">
      <c r="A105" s="76">
        <v>45752</v>
      </c>
      <c r="B105" s="65" t="s">
        <v>302</v>
      </c>
      <c r="C105" s="66">
        <v>54.83</v>
      </c>
      <c r="D105" s="66">
        <v>48.67</v>
      </c>
      <c r="E105" s="66">
        <v>49.71</v>
      </c>
      <c r="F105" s="66">
        <v>55.57</v>
      </c>
      <c r="G105" s="66">
        <v>54.46</v>
      </c>
      <c r="H105" s="66">
        <v>25.22</v>
      </c>
      <c r="I105" s="66">
        <v>49.59</v>
      </c>
      <c r="J105" s="66">
        <v>45.22</v>
      </c>
      <c r="K105" s="66">
        <v>58.17</v>
      </c>
      <c r="L105" s="66">
        <v>57.15</v>
      </c>
      <c r="M105" s="66">
        <v>25.34</v>
      </c>
      <c r="N105" s="66">
        <v>60.02</v>
      </c>
      <c r="O105" s="66">
        <v>54.88</v>
      </c>
      <c r="P105" s="65" t="s">
        <v>208</v>
      </c>
      <c r="Q105" s="66">
        <v>104.25</v>
      </c>
      <c r="R105" s="66">
        <v>63.28</v>
      </c>
      <c r="S105" s="66">
        <v>67.86</v>
      </c>
    </row>
    <row r="106" spans="1:19" x14ac:dyDescent="0.35">
      <c r="A106" s="76">
        <v>45753</v>
      </c>
      <c r="B106" s="65" t="s">
        <v>303</v>
      </c>
      <c r="C106" s="66">
        <v>38.29</v>
      </c>
      <c r="D106" s="66">
        <v>40.28</v>
      </c>
      <c r="E106" s="66">
        <v>34.53</v>
      </c>
      <c r="F106" s="66">
        <v>51.23</v>
      </c>
      <c r="G106" s="66">
        <v>51.48</v>
      </c>
      <c r="H106" s="66">
        <v>11.27</v>
      </c>
      <c r="I106" s="66">
        <v>35.58</v>
      </c>
      <c r="J106" s="66">
        <v>45.92</v>
      </c>
      <c r="K106" s="66">
        <v>36.479999999999997</v>
      </c>
      <c r="L106" s="66">
        <v>45.19</v>
      </c>
      <c r="M106" s="66">
        <v>43.38</v>
      </c>
      <c r="N106" s="66">
        <v>47.75</v>
      </c>
      <c r="O106" s="66">
        <v>40.21</v>
      </c>
      <c r="P106" s="65" t="s">
        <v>208</v>
      </c>
      <c r="Q106" s="66">
        <v>100.95</v>
      </c>
      <c r="R106" s="66">
        <v>44.21</v>
      </c>
      <c r="S106" s="66">
        <v>55.05</v>
      </c>
    </row>
    <row r="107" spans="1:19" x14ac:dyDescent="0.35">
      <c r="A107" s="76">
        <v>45754</v>
      </c>
      <c r="B107" s="65" t="s">
        <v>304</v>
      </c>
      <c r="C107" s="66">
        <v>96.13</v>
      </c>
      <c r="D107" s="66">
        <v>91.89</v>
      </c>
      <c r="E107" s="66">
        <v>88.81</v>
      </c>
      <c r="F107" s="66">
        <v>94.97</v>
      </c>
      <c r="G107" s="66">
        <v>95.51</v>
      </c>
      <c r="H107" s="66">
        <v>63.74</v>
      </c>
      <c r="I107" s="66">
        <v>91.16</v>
      </c>
      <c r="J107" s="66">
        <v>82.29</v>
      </c>
      <c r="K107" s="66">
        <v>104.46</v>
      </c>
      <c r="L107" s="66">
        <v>108.09</v>
      </c>
      <c r="M107" s="66">
        <v>86.85</v>
      </c>
      <c r="N107" s="66">
        <v>94.76</v>
      </c>
      <c r="O107" s="66">
        <v>100.16</v>
      </c>
      <c r="P107" s="65" t="s">
        <v>208</v>
      </c>
      <c r="Q107" s="66">
        <v>110.28</v>
      </c>
      <c r="R107" s="66">
        <v>107.21</v>
      </c>
      <c r="S107" s="66">
        <v>111.02</v>
      </c>
    </row>
    <row r="108" spans="1:19" x14ac:dyDescent="0.35">
      <c r="A108" s="76">
        <v>45755</v>
      </c>
      <c r="B108" s="65" t="s">
        <v>305</v>
      </c>
      <c r="C108" s="66">
        <v>98.75</v>
      </c>
      <c r="D108" s="66">
        <v>89.19</v>
      </c>
      <c r="E108" s="66">
        <v>86.49</v>
      </c>
      <c r="F108" s="66">
        <v>98.75</v>
      </c>
      <c r="G108" s="66">
        <v>98.75</v>
      </c>
      <c r="H108" s="66">
        <v>61.12</v>
      </c>
      <c r="I108" s="66">
        <v>89.99</v>
      </c>
      <c r="J108" s="66">
        <v>58.82</v>
      </c>
      <c r="K108" s="66">
        <v>108.38</v>
      </c>
      <c r="L108" s="66">
        <v>98.58</v>
      </c>
      <c r="M108" s="66">
        <v>66.650000000000006</v>
      </c>
      <c r="N108" s="66">
        <v>108.95</v>
      </c>
      <c r="O108" s="66">
        <v>104.66</v>
      </c>
      <c r="P108" s="65" t="s">
        <v>208</v>
      </c>
      <c r="Q108" s="66">
        <v>108.77</v>
      </c>
      <c r="R108" s="66">
        <v>111.94</v>
      </c>
      <c r="S108" s="66">
        <v>119.8</v>
      </c>
    </row>
    <row r="109" spans="1:19" x14ac:dyDescent="0.35">
      <c r="A109" s="76">
        <v>45756</v>
      </c>
      <c r="B109" s="65" t="s">
        <v>306</v>
      </c>
      <c r="C109" s="66">
        <v>91.56</v>
      </c>
      <c r="D109" s="66">
        <v>78.319999999999993</v>
      </c>
      <c r="E109" s="66">
        <v>76.8</v>
      </c>
      <c r="F109" s="66">
        <v>91.16</v>
      </c>
      <c r="G109" s="66">
        <v>91.15</v>
      </c>
      <c r="H109" s="66">
        <v>34.67</v>
      </c>
      <c r="I109" s="66">
        <v>80.47</v>
      </c>
      <c r="J109" s="66">
        <v>47.88</v>
      </c>
      <c r="K109" s="66">
        <v>103.38</v>
      </c>
      <c r="L109" s="66">
        <v>96.61</v>
      </c>
      <c r="M109" s="66">
        <v>42.45</v>
      </c>
      <c r="N109" s="66">
        <v>102.87</v>
      </c>
      <c r="O109" s="66">
        <v>94.07</v>
      </c>
      <c r="P109" s="65" t="s">
        <v>208</v>
      </c>
      <c r="Q109" s="66">
        <v>115.42</v>
      </c>
      <c r="R109" s="66">
        <v>109.18</v>
      </c>
      <c r="S109" s="66">
        <v>117.93</v>
      </c>
    </row>
    <row r="110" spans="1:19" x14ac:dyDescent="0.35">
      <c r="A110" s="76">
        <v>45757</v>
      </c>
      <c r="B110" s="65" t="s">
        <v>307</v>
      </c>
      <c r="C110" s="66">
        <v>85.52</v>
      </c>
      <c r="D110" s="66">
        <v>70.17</v>
      </c>
      <c r="E110" s="66">
        <v>77.680000000000007</v>
      </c>
      <c r="F110" s="66">
        <v>61.02</v>
      </c>
      <c r="G110" s="66">
        <v>63.44</v>
      </c>
      <c r="H110" s="66">
        <v>29.66</v>
      </c>
      <c r="I110" s="66">
        <v>79.790000000000006</v>
      </c>
      <c r="J110" s="66">
        <v>51</v>
      </c>
      <c r="K110" s="66">
        <v>92.65</v>
      </c>
      <c r="L110" s="66">
        <v>94.88</v>
      </c>
      <c r="M110" s="66">
        <v>45.67</v>
      </c>
      <c r="N110" s="66">
        <v>86.96</v>
      </c>
      <c r="O110" s="66">
        <v>89.16</v>
      </c>
      <c r="P110" s="65" t="s">
        <v>208</v>
      </c>
      <c r="Q110" s="66">
        <v>105.42</v>
      </c>
      <c r="R110" s="66">
        <v>95.47</v>
      </c>
      <c r="S110" s="66">
        <v>96.28</v>
      </c>
    </row>
    <row r="111" spans="1:19" x14ac:dyDescent="0.35">
      <c r="A111" s="76">
        <v>45758</v>
      </c>
      <c r="B111" s="65" t="s">
        <v>308</v>
      </c>
      <c r="C111" s="66">
        <v>64.63</v>
      </c>
      <c r="D111" s="66">
        <v>59.32</v>
      </c>
      <c r="E111" s="66">
        <v>74.790000000000006</v>
      </c>
      <c r="F111" s="66">
        <v>36.15</v>
      </c>
      <c r="G111" s="66">
        <v>44.64</v>
      </c>
      <c r="H111" s="66">
        <v>36.96</v>
      </c>
      <c r="I111" s="66">
        <v>72.239999999999995</v>
      </c>
      <c r="J111" s="66">
        <v>33.57</v>
      </c>
      <c r="K111" s="66">
        <v>69.58</v>
      </c>
      <c r="L111" s="66">
        <v>106.04</v>
      </c>
      <c r="M111" s="66">
        <v>29</v>
      </c>
      <c r="N111" s="66">
        <v>79.8</v>
      </c>
      <c r="O111" s="66">
        <v>69.790000000000006</v>
      </c>
      <c r="P111" s="65" t="s">
        <v>208</v>
      </c>
      <c r="Q111" s="66">
        <v>101.35</v>
      </c>
      <c r="R111" s="66">
        <v>78.31</v>
      </c>
      <c r="S111" s="66">
        <v>85.24</v>
      </c>
    </row>
    <row r="112" spans="1:19" x14ac:dyDescent="0.35">
      <c r="A112" s="76">
        <v>45759</v>
      </c>
      <c r="B112" s="65" t="s">
        <v>309</v>
      </c>
      <c r="C112" s="66">
        <v>65.41</v>
      </c>
      <c r="D112" s="66">
        <v>58.13</v>
      </c>
      <c r="E112" s="66">
        <v>53.54</v>
      </c>
      <c r="F112" s="66">
        <v>64.64</v>
      </c>
      <c r="G112" s="66">
        <v>64.069999999999993</v>
      </c>
      <c r="H112" s="66">
        <v>24.87</v>
      </c>
      <c r="I112" s="66">
        <v>58.29</v>
      </c>
      <c r="J112" s="66">
        <v>48.81</v>
      </c>
      <c r="K112" s="66">
        <v>74.400000000000006</v>
      </c>
      <c r="L112" s="66">
        <v>82.21</v>
      </c>
      <c r="M112" s="66">
        <v>31.36</v>
      </c>
      <c r="N112" s="66">
        <v>70.34</v>
      </c>
      <c r="O112" s="66">
        <v>66.97</v>
      </c>
      <c r="P112" s="65" t="s">
        <v>208</v>
      </c>
      <c r="Q112" s="66">
        <v>85.8</v>
      </c>
      <c r="R112" s="66">
        <v>78.47</v>
      </c>
      <c r="S112" s="66">
        <v>84.91</v>
      </c>
    </row>
    <row r="113" spans="1:19" x14ac:dyDescent="0.35">
      <c r="A113" s="76">
        <v>45760</v>
      </c>
      <c r="B113" s="65" t="s">
        <v>310</v>
      </c>
      <c r="C113" s="66">
        <v>39.200000000000003</v>
      </c>
      <c r="D113" s="66">
        <v>39.79</v>
      </c>
      <c r="E113" s="66">
        <v>36.270000000000003</v>
      </c>
      <c r="F113" s="66">
        <v>39.200000000000003</v>
      </c>
      <c r="G113" s="66">
        <v>39.61</v>
      </c>
      <c r="H113" s="66">
        <v>18.84</v>
      </c>
      <c r="I113" s="66">
        <v>38.82</v>
      </c>
      <c r="J113" s="66">
        <v>29.57</v>
      </c>
      <c r="K113" s="66">
        <v>48.58</v>
      </c>
      <c r="L113" s="66">
        <v>52.4</v>
      </c>
      <c r="M113" s="66">
        <v>24.49</v>
      </c>
      <c r="N113" s="66">
        <v>70.38</v>
      </c>
      <c r="O113" s="66">
        <v>39.54</v>
      </c>
      <c r="P113" s="65" t="s">
        <v>208</v>
      </c>
      <c r="Q113" s="66">
        <v>96.56</v>
      </c>
      <c r="R113" s="66">
        <v>52.13</v>
      </c>
      <c r="S113" s="66">
        <v>56.09</v>
      </c>
    </row>
    <row r="114" spans="1:19" x14ac:dyDescent="0.35">
      <c r="A114" s="76">
        <v>45761</v>
      </c>
      <c r="B114" s="65" t="s">
        <v>311</v>
      </c>
      <c r="C114" s="66">
        <v>98.16</v>
      </c>
      <c r="D114" s="66">
        <v>83.75</v>
      </c>
      <c r="E114" s="66">
        <v>87.58</v>
      </c>
      <c r="F114" s="66">
        <v>96.41</v>
      </c>
      <c r="G114" s="66">
        <v>97.54</v>
      </c>
      <c r="H114" s="66">
        <v>36.22</v>
      </c>
      <c r="I114" s="66">
        <v>93.37</v>
      </c>
      <c r="J114" s="66">
        <v>50.01</v>
      </c>
      <c r="K114" s="66">
        <v>103.93</v>
      </c>
      <c r="L114" s="66">
        <v>104.48</v>
      </c>
      <c r="M114" s="66">
        <v>48.69</v>
      </c>
      <c r="N114" s="66">
        <v>102.41</v>
      </c>
      <c r="O114" s="66">
        <v>100.62</v>
      </c>
      <c r="P114" s="65" t="s">
        <v>208</v>
      </c>
      <c r="Q114" s="66">
        <v>113.68</v>
      </c>
      <c r="R114" s="66">
        <v>109.82</v>
      </c>
      <c r="S114" s="66">
        <v>110.91</v>
      </c>
    </row>
    <row r="115" spans="1:19" x14ac:dyDescent="0.35">
      <c r="A115" s="76">
        <v>45762</v>
      </c>
      <c r="B115" s="65" t="s">
        <v>312</v>
      </c>
      <c r="C115" s="66">
        <v>70.040000000000006</v>
      </c>
      <c r="D115" s="66">
        <v>62.48</v>
      </c>
      <c r="E115" s="66">
        <v>70.819999999999993</v>
      </c>
      <c r="F115" s="66">
        <v>39.14</v>
      </c>
      <c r="G115" s="66">
        <v>41.2</v>
      </c>
      <c r="H115" s="66">
        <v>16.829999999999998</v>
      </c>
      <c r="I115" s="66">
        <v>70.03</v>
      </c>
      <c r="J115" s="66">
        <v>37.67</v>
      </c>
      <c r="K115" s="66">
        <v>99.48</v>
      </c>
      <c r="L115" s="66">
        <v>84.04</v>
      </c>
      <c r="M115" s="66">
        <v>38.29</v>
      </c>
      <c r="N115" s="66">
        <v>99.11</v>
      </c>
      <c r="O115" s="66">
        <v>90.7</v>
      </c>
      <c r="P115" s="65" t="s">
        <v>208</v>
      </c>
      <c r="Q115" s="66">
        <v>110.81</v>
      </c>
      <c r="R115" s="66">
        <v>103.42</v>
      </c>
      <c r="S115" s="66">
        <v>105.22</v>
      </c>
    </row>
    <row r="116" spans="1:19" x14ac:dyDescent="0.35">
      <c r="A116" s="76">
        <v>45763</v>
      </c>
      <c r="B116" s="65" t="s">
        <v>313</v>
      </c>
      <c r="C116" s="66">
        <v>89.58</v>
      </c>
      <c r="D116" s="66">
        <v>76.650000000000006</v>
      </c>
      <c r="E116" s="66">
        <v>82.57</v>
      </c>
      <c r="F116" s="66">
        <v>79.98</v>
      </c>
      <c r="G116" s="66">
        <v>80.78</v>
      </c>
      <c r="H116" s="66">
        <v>56.98</v>
      </c>
      <c r="I116" s="66">
        <v>85.33</v>
      </c>
      <c r="J116" s="66">
        <v>46.86</v>
      </c>
      <c r="K116" s="66">
        <v>80.63</v>
      </c>
      <c r="L116" s="66">
        <v>94.68</v>
      </c>
      <c r="M116" s="66">
        <v>47.83</v>
      </c>
      <c r="N116" s="66">
        <v>100.77</v>
      </c>
      <c r="O116" s="66">
        <v>86.74</v>
      </c>
      <c r="P116" s="65" t="s">
        <v>208</v>
      </c>
      <c r="Q116" s="66">
        <v>112.11</v>
      </c>
      <c r="R116" s="66">
        <v>83.66</v>
      </c>
      <c r="S116" s="66">
        <v>79.739999999999995</v>
      </c>
    </row>
    <row r="117" spans="1:19" x14ac:dyDescent="0.35">
      <c r="A117" s="76">
        <v>45764</v>
      </c>
      <c r="B117" s="65" t="s">
        <v>314</v>
      </c>
      <c r="C117" s="66">
        <v>98.49</v>
      </c>
      <c r="D117" s="66">
        <v>81.790000000000006</v>
      </c>
      <c r="E117" s="66">
        <v>95.9</v>
      </c>
      <c r="F117" s="66">
        <v>95.76</v>
      </c>
      <c r="G117" s="66">
        <v>93.64</v>
      </c>
      <c r="H117" s="66">
        <v>62.5</v>
      </c>
      <c r="I117" s="66">
        <v>97.39</v>
      </c>
      <c r="J117" s="66">
        <v>51.79</v>
      </c>
      <c r="K117" s="66">
        <v>79.64</v>
      </c>
      <c r="L117" s="66">
        <v>84.96</v>
      </c>
      <c r="M117" s="66">
        <v>50.4</v>
      </c>
      <c r="N117" s="66">
        <v>98.89</v>
      </c>
      <c r="O117" s="66">
        <v>88.8</v>
      </c>
      <c r="P117" s="65" t="s">
        <v>208</v>
      </c>
      <c r="Q117" s="66">
        <v>109.71</v>
      </c>
      <c r="R117" s="66">
        <v>82.94</v>
      </c>
      <c r="S117" s="66">
        <v>83.02</v>
      </c>
    </row>
    <row r="118" spans="1:19" x14ac:dyDescent="0.35">
      <c r="A118" s="76">
        <v>45765</v>
      </c>
      <c r="B118" s="65" t="s">
        <v>315</v>
      </c>
      <c r="C118" s="66">
        <v>87.9</v>
      </c>
      <c r="D118" s="66">
        <v>75.52</v>
      </c>
      <c r="E118" s="66">
        <v>89.43</v>
      </c>
      <c r="F118" s="66">
        <v>80.13</v>
      </c>
      <c r="G118" s="66">
        <v>84.74</v>
      </c>
      <c r="H118" s="66">
        <v>32.83</v>
      </c>
      <c r="I118" s="66">
        <v>87.32</v>
      </c>
      <c r="J118" s="66">
        <v>52.09</v>
      </c>
      <c r="K118" s="66">
        <v>89.96</v>
      </c>
      <c r="L118" s="66">
        <v>94.32</v>
      </c>
      <c r="M118" s="66">
        <v>48.06</v>
      </c>
      <c r="N118" s="66">
        <v>82.41</v>
      </c>
      <c r="O118" s="66">
        <v>89.37</v>
      </c>
      <c r="P118" s="65" t="s">
        <v>208</v>
      </c>
      <c r="Q118" s="66">
        <v>99.78</v>
      </c>
      <c r="R118" s="66">
        <v>91.47</v>
      </c>
      <c r="S118" s="66">
        <v>91</v>
      </c>
    </row>
    <row r="119" spans="1:19" x14ac:dyDescent="0.35">
      <c r="A119" s="76">
        <v>45766</v>
      </c>
      <c r="B119" s="65" t="s">
        <v>316</v>
      </c>
      <c r="C119" s="66">
        <v>68.92</v>
      </c>
      <c r="D119" s="66">
        <v>59.7</v>
      </c>
      <c r="E119" s="66">
        <v>60.25</v>
      </c>
      <c r="F119" s="66">
        <v>64.94</v>
      </c>
      <c r="G119" s="66">
        <v>65.459999999999994</v>
      </c>
      <c r="H119" s="66">
        <v>22.57</v>
      </c>
      <c r="I119" s="66">
        <v>63.21</v>
      </c>
      <c r="J119" s="66">
        <v>48.06</v>
      </c>
      <c r="K119" s="66">
        <v>68.959999999999994</v>
      </c>
      <c r="L119" s="66">
        <v>91.06</v>
      </c>
      <c r="M119" s="66">
        <v>37.04</v>
      </c>
      <c r="N119" s="66">
        <v>65.739999999999995</v>
      </c>
      <c r="O119" s="66">
        <v>69.42</v>
      </c>
      <c r="P119" s="65" t="s">
        <v>208</v>
      </c>
      <c r="Q119" s="66">
        <v>82.34</v>
      </c>
      <c r="R119" s="66">
        <v>72.38</v>
      </c>
      <c r="S119" s="66">
        <v>71.97</v>
      </c>
    </row>
    <row r="120" spans="1:19" x14ac:dyDescent="0.35">
      <c r="A120" s="76">
        <v>45767</v>
      </c>
      <c r="B120" s="65" t="s">
        <v>317</v>
      </c>
      <c r="C120" s="66">
        <v>65.260000000000005</v>
      </c>
      <c r="D120" s="66">
        <v>55.94</v>
      </c>
      <c r="E120" s="66">
        <v>74.05</v>
      </c>
      <c r="F120" s="66">
        <v>70.849999999999994</v>
      </c>
      <c r="G120" s="66">
        <v>70.67</v>
      </c>
      <c r="H120" s="66">
        <v>30.22</v>
      </c>
      <c r="I120" s="66">
        <v>69.3</v>
      </c>
      <c r="J120" s="66">
        <v>50.15</v>
      </c>
      <c r="K120" s="66">
        <v>49.37</v>
      </c>
      <c r="L120" s="66">
        <v>61.51</v>
      </c>
      <c r="M120" s="66">
        <v>28.19</v>
      </c>
      <c r="N120" s="66">
        <v>52.73</v>
      </c>
      <c r="O120" s="66">
        <v>58.26</v>
      </c>
      <c r="P120" s="65" t="s">
        <v>208</v>
      </c>
      <c r="Q120" s="66">
        <v>89.14</v>
      </c>
      <c r="R120" s="66">
        <v>53.09</v>
      </c>
      <c r="S120" s="66">
        <v>54.52</v>
      </c>
    </row>
    <row r="121" spans="1:19" x14ac:dyDescent="0.35">
      <c r="A121" s="76">
        <v>45768</v>
      </c>
      <c r="B121" s="65" t="s">
        <v>318</v>
      </c>
      <c r="C121" s="66">
        <v>81.99</v>
      </c>
      <c r="D121" s="66">
        <v>70.44</v>
      </c>
      <c r="E121" s="66">
        <v>84.88</v>
      </c>
      <c r="F121" s="66">
        <v>82</v>
      </c>
      <c r="G121" s="66">
        <v>81.99</v>
      </c>
      <c r="H121" s="66">
        <v>53.54</v>
      </c>
      <c r="I121" s="66">
        <v>84.13</v>
      </c>
      <c r="J121" s="66">
        <v>54.61</v>
      </c>
      <c r="K121" s="66">
        <v>66.540000000000006</v>
      </c>
      <c r="L121" s="66">
        <v>74.599999999999994</v>
      </c>
      <c r="M121" s="66">
        <v>47.92</v>
      </c>
      <c r="N121" s="66">
        <v>70.81</v>
      </c>
      <c r="O121" s="66">
        <v>73.77</v>
      </c>
      <c r="P121" s="65" t="s">
        <v>208</v>
      </c>
      <c r="Q121" s="66">
        <v>96.02</v>
      </c>
      <c r="R121" s="66">
        <v>68.8</v>
      </c>
      <c r="S121" s="66">
        <v>68.709999999999994</v>
      </c>
    </row>
    <row r="122" spans="1:19" x14ac:dyDescent="0.35">
      <c r="A122" s="76">
        <v>45769</v>
      </c>
      <c r="B122" s="65" t="s">
        <v>319</v>
      </c>
      <c r="C122" s="66">
        <v>112.64</v>
      </c>
      <c r="D122" s="66">
        <v>105.44</v>
      </c>
      <c r="E122" s="66">
        <v>106.72</v>
      </c>
      <c r="F122" s="66">
        <v>112.42</v>
      </c>
      <c r="G122" s="66">
        <v>112.5</v>
      </c>
      <c r="H122" s="66">
        <v>72.58</v>
      </c>
      <c r="I122" s="66">
        <v>110.76</v>
      </c>
      <c r="J122" s="66">
        <v>99.54</v>
      </c>
      <c r="K122" s="66">
        <v>110.9</v>
      </c>
      <c r="L122" s="66">
        <v>115.03</v>
      </c>
      <c r="M122" s="66">
        <v>100.59</v>
      </c>
      <c r="N122" s="66">
        <v>105.93</v>
      </c>
      <c r="O122" s="66">
        <v>112.81</v>
      </c>
      <c r="P122" s="65" t="s">
        <v>208</v>
      </c>
      <c r="Q122" s="66">
        <v>108.79</v>
      </c>
      <c r="R122" s="66">
        <v>115.67</v>
      </c>
      <c r="S122" s="66">
        <v>113.29</v>
      </c>
    </row>
    <row r="123" spans="1:19" x14ac:dyDescent="0.35">
      <c r="A123" s="76">
        <v>45770</v>
      </c>
      <c r="B123" s="65" t="s">
        <v>320</v>
      </c>
      <c r="C123" s="66">
        <v>109.48</v>
      </c>
      <c r="D123" s="66">
        <v>102.59</v>
      </c>
      <c r="E123" s="66">
        <v>104.86</v>
      </c>
      <c r="F123" s="66">
        <v>109.41</v>
      </c>
      <c r="G123" s="66">
        <v>109.45</v>
      </c>
      <c r="H123" s="66">
        <v>67.3</v>
      </c>
      <c r="I123" s="66">
        <v>106.37</v>
      </c>
      <c r="J123" s="66">
        <v>85.81</v>
      </c>
      <c r="K123" s="66">
        <v>108.37</v>
      </c>
      <c r="L123" s="66">
        <v>112.63</v>
      </c>
      <c r="M123" s="66">
        <v>101.04</v>
      </c>
      <c r="N123" s="66">
        <v>112.65</v>
      </c>
      <c r="O123" s="66">
        <v>110.62</v>
      </c>
      <c r="P123" s="65" t="s">
        <v>208</v>
      </c>
      <c r="Q123" s="66">
        <v>110.63</v>
      </c>
      <c r="R123" s="66">
        <v>116.31</v>
      </c>
      <c r="S123" s="66">
        <v>112.86</v>
      </c>
    </row>
    <row r="124" spans="1:19" x14ac:dyDescent="0.35">
      <c r="A124" s="76">
        <v>45771</v>
      </c>
      <c r="B124" s="65" t="s">
        <v>321</v>
      </c>
      <c r="C124" s="66">
        <v>96.8</v>
      </c>
      <c r="D124" s="66">
        <v>92.67</v>
      </c>
      <c r="E124" s="66">
        <v>94.36</v>
      </c>
      <c r="F124" s="66">
        <v>96.8</v>
      </c>
      <c r="G124" s="66">
        <v>96.8</v>
      </c>
      <c r="H124" s="66">
        <v>78.64</v>
      </c>
      <c r="I124" s="66">
        <v>94.83</v>
      </c>
      <c r="J124" s="66">
        <v>81.09</v>
      </c>
      <c r="K124" s="66">
        <v>95.42</v>
      </c>
      <c r="L124" s="66">
        <v>97.61</v>
      </c>
      <c r="M124" s="66">
        <v>89.12</v>
      </c>
      <c r="N124" s="66">
        <v>97.76</v>
      </c>
      <c r="O124" s="66">
        <v>96.98</v>
      </c>
      <c r="P124" s="65" t="s">
        <v>208</v>
      </c>
      <c r="Q124" s="66">
        <v>100.75</v>
      </c>
      <c r="R124" s="66">
        <v>99.66</v>
      </c>
      <c r="S124" s="66">
        <v>99.79</v>
      </c>
    </row>
    <row r="125" spans="1:19" x14ac:dyDescent="0.35">
      <c r="A125" s="76">
        <v>45772</v>
      </c>
      <c r="B125" s="65" t="s">
        <v>322</v>
      </c>
      <c r="C125" s="66">
        <v>88.53</v>
      </c>
      <c r="D125" s="66">
        <v>83.96</v>
      </c>
      <c r="E125" s="66">
        <v>87.8</v>
      </c>
      <c r="F125" s="66">
        <v>88.53</v>
      </c>
      <c r="G125" s="66">
        <v>88.52</v>
      </c>
      <c r="H125" s="66">
        <v>67.33</v>
      </c>
      <c r="I125" s="66">
        <v>87.33</v>
      </c>
      <c r="J125" s="66">
        <v>69.34</v>
      </c>
      <c r="K125" s="66">
        <v>88.34</v>
      </c>
      <c r="L125" s="66">
        <v>95.75</v>
      </c>
      <c r="M125" s="66">
        <v>73.78</v>
      </c>
      <c r="N125" s="66">
        <v>87.9</v>
      </c>
      <c r="O125" s="66">
        <v>88.92</v>
      </c>
      <c r="P125" s="65" t="s">
        <v>208</v>
      </c>
      <c r="Q125" s="66">
        <v>75.84</v>
      </c>
      <c r="R125" s="66">
        <v>89.26</v>
      </c>
      <c r="S125" s="66">
        <v>89.3</v>
      </c>
    </row>
    <row r="126" spans="1:19" x14ac:dyDescent="0.35">
      <c r="A126" s="76">
        <v>45773</v>
      </c>
      <c r="B126" s="65" t="s">
        <v>323</v>
      </c>
      <c r="C126" s="66">
        <v>57.39</v>
      </c>
      <c r="D126" s="66">
        <v>54.45</v>
      </c>
      <c r="E126" s="66">
        <v>60.11</v>
      </c>
      <c r="F126" s="66">
        <v>58.42</v>
      </c>
      <c r="G126" s="66">
        <v>58.23</v>
      </c>
      <c r="H126" s="66">
        <v>36.69</v>
      </c>
      <c r="I126" s="66">
        <v>58.35</v>
      </c>
      <c r="J126" s="66">
        <v>50.64</v>
      </c>
      <c r="K126" s="66">
        <v>57.67</v>
      </c>
      <c r="L126" s="66">
        <v>64.41</v>
      </c>
      <c r="M126" s="66">
        <v>41.13</v>
      </c>
      <c r="N126" s="66">
        <v>55.46</v>
      </c>
      <c r="O126" s="66">
        <v>57.84</v>
      </c>
      <c r="P126" s="65" t="s">
        <v>208</v>
      </c>
      <c r="Q126" s="66">
        <v>68.959999999999994</v>
      </c>
      <c r="R126" s="66">
        <v>59.7</v>
      </c>
      <c r="S126" s="66">
        <v>59.69</v>
      </c>
    </row>
    <row r="127" spans="1:19" x14ac:dyDescent="0.35">
      <c r="A127" s="76">
        <v>45774</v>
      </c>
      <c r="B127" s="65" t="s">
        <v>324</v>
      </c>
      <c r="C127" s="66">
        <v>31.43</v>
      </c>
      <c r="D127" s="66">
        <v>37.81</v>
      </c>
      <c r="E127" s="66">
        <v>29.14</v>
      </c>
      <c r="F127" s="66">
        <v>46.08</v>
      </c>
      <c r="G127" s="66">
        <v>45.51</v>
      </c>
      <c r="H127" s="66">
        <v>34.619999999999997</v>
      </c>
      <c r="I127" s="66">
        <v>34.07</v>
      </c>
      <c r="J127" s="66">
        <v>42.47</v>
      </c>
      <c r="K127" s="66">
        <v>33.130000000000003</v>
      </c>
      <c r="L127" s="66">
        <v>45.31</v>
      </c>
      <c r="M127" s="66">
        <v>38.68</v>
      </c>
      <c r="N127" s="66">
        <v>34.69</v>
      </c>
      <c r="O127" s="66">
        <v>32.21</v>
      </c>
      <c r="P127" s="65" t="s">
        <v>208</v>
      </c>
      <c r="Q127" s="66">
        <v>61.81</v>
      </c>
      <c r="R127" s="66">
        <v>34.200000000000003</v>
      </c>
      <c r="S127" s="66">
        <v>31.76</v>
      </c>
    </row>
    <row r="128" spans="1:19" x14ac:dyDescent="0.35">
      <c r="A128" s="76">
        <v>45775</v>
      </c>
      <c r="B128" s="65" t="s">
        <v>325</v>
      </c>
      <c r="C128" s="66">
        <v>75.75</v>
      </c>
      <c r="D128" s="66">
        <v>67.19</v>
      </c>
      <c r="E128" s="66">
        <v>71.63</v>
      </c>
      <c r="F128" s="66">
        <v>75.59</v>
      </c>
      <c r="G128" s="66">
        <v>75.64</v>
      </c>
      <c r="H128" s="66">
        <v>46.84</v>
      </c>
      <c r="I128" s="66">
        <v>74.37</v>
      </c>
      <c r="J128" s="66">
        <v>48.57</v>
      </c>
      <c r="K128" s="66">
        <v>75.650000000000006</v>
      </c>
      <c r="L128" s="66">
        <v>78.89</v>
      </c>
      <c r="M128" s="66">
        <v>41.72</v>
      </c>
      <c r="N128" s="66">
        <v>74.09</v>
      </c>
      <c r="O128" s="66">
        <v>76.16</v>
      </c>
      <c r="P128" s="65" t="s">
        <v>208</v>
      </c>
      <c r="Q128" s="66">
        <v>94.08</v>
      </c>
      <c r="R128" s="66">
        <v>76.319999999999993</v>
      </c>
      <c r="S128" s="66">
        <v>76.64</v>
      </c>
    </row>
    <row r="129" spans="1:19" x14ac:dyDescent="0.35">
      <c r="A129" s="76">
        <v>45776</v>
      </c>
      <c r="B129" s="65" t="s">
        <v>326</v>
      </c>
      <c r="C129" s="66">
        <v>73.2</v>
      </c>
      <c r="D129" s="66">
        <v>64.180000000000007</v>
      </c>
      <c r="E129" s="66">
        <v>68.38</v>
      </c>
      <c r="F129" s="66">
        <v>72.59</v>
      </c>
      <c r="G129" s="66">
        <v>72.599999999999994</v>
      </c>
      <c r="H129" s="66">
        <v>24.91</v>
      </c>
      <c r="I129" s="66">
        <v>70.61</v>
      </c>
      <c r="J129" s="66">
        <v>50.67</v>
      </c>
      <c r="K129" s="66">
        <v>72.56</v>
      </c>
      <c r="L129" s="66">
        <v>74.08</v>
      </c>
      <c r="M129" s="66">
        <v>53.71</v>
      </c>
      <c r="N129" s="66">
        <v>73.12</v>
      </c>
      <c r="O129" s="66">
        <v>72.790000000000006</v>
      </c>
      <c r="P129" s="65" t="s">
        <v>208</v>
      </c>
      <c r="Q129" s="66">
        <v>81.92</v>
      </c>
      <c r="R129" s="66">
        <v>72.930000000000007</v>
      </c>
      <c r="S129" s="66">
        <v>72.27</v>
      </c>
    </row>
    <row r="130" spans="1:19" x14ac:dyDescent="0.35">
      <c r="A130" s="76">
        <v>45777</v>
      </c>
      <c r="B130" s="65" t="s">
        <v>327</v>
      </c>
      <c r="C130" s="66">
        <v>74.959999999999994</v>
      </c>
      <c r="D130" s="66">
        <v>69.680000000000007</v>
      </c>
      <c r="E130" s="66">
        <v>74.989999999999995</v>
      </c>
      <c r="F130" s="66">
        <v>75.099999999999994</v>
      </c>
      <c r="G130" s="66">
        <v>75.180000000000007</v>
      </c>
      <c r="H130" s="66">
        <v>48.26</v>
      </c>
      <c r="I130" s="66">
        <v>74.48</v>
      </c>
      <c r="J130" s="66">
        <v>62</v>
      </c>
      <c r="K130" s="66">
        <v>75.099999999999994</v>
      </c>
      <c r="L130" s="66">
        <v>75.180000000000007</v>
      </c>
      <c r="M130" s="66">
        <v>61.48</v>
      </c>
      <c r="N130" s="66">
        <v>69.88</v>
      </c>
      <c r="O130" s="66">
        <v>74.87</v>
      </c>
      <c r="P130" s="65" t="s">
        <v>208</v>
      </c>
      <c r="Q130" s="66">
        <v>87.67</v>
      </c>
      <c r="R130" s="66">
        <v>74.97</v>
      </c>
      <c r="S130" s="66">
        <v>74.56</v>
      </c>
    </row>
    <row r="131" spans="1:19" x14ac:dyDescent="0.35">
      <c r="A131" s="76">
        <v>45778</v>
      </c>
      <c r="B131" s="65" t="s">
        <v>328</v>
      </c>
      <c r="C131" s="66">
        <v>44.97</v>
      </c>
      <c r="D131" s="66">
        <v>45.72</v>
      </c>
      <c r="E131" s="66">
        <v>43.71</v>
      </c>
      <c r="F131" s="66">
        <v>60.74</v>
      </c>
      <c r="G131" s="66">
        <v>60.97</v>
      </c>
      <c r="H131" s="66">
        <v>5.9</v>
      </c>
      <c r="I131" s="66">
        <v>44.68</v>
      </c>
      <c r="J131" s="66">
        <v>58.17</v>
      </c>
      <c r="K131" s="66">
        <v>44.99</v>
      </c>
      <c r="L131" s="66">
        <v>52.34</v>
      </c>
      <c r="M131" s="66">
        <v>45.96</v>
      </c>
      <c r="N131" s="66">
        <v>40.520000000000003</v>
      </c>
      <c r="O131" s="66">
        <v>44.99</v>
      </c>
      <c r="P131" s="65" t="s">
        <v>208</v>
      </c>
      <c r="Q131" s="66">
        <v>62.48</v>
      </c>
      <c r="R131" s="66">
        <v>45.07</v>
      </c>
      <c r="S131" s="66">
        <v>44.91</v>
      </c>
    </row>
    <row r="132" spans="1:19" x14ac:dyDescent="0.35">
      <c r="A132" s="76">
        <v>45779</v>
      </c>
      <c r="B132" s="65" t="s">
        <v>329</v>
      </c>
      <c r="C132" s="66">
        <v>62.79</v>
      </c>
      <c r="D132" s="66">
        <v>54.41</v>
      </c>
      <c r="E132" s="66">
        <v>68.12</v>
      </c>
      <c r="F132" s="66">
        <v>58.97</v>
      </c>
      <c r="G132" s="66">
        <v>56.43</v>
      </c>
      <c r="H132" s="66">
        <v>19.59</v>
      </c>
      <c r="I132" s="66">
        <v>64.739999999999995</v>
      </c>
      <c r="J132" s="66">
        <v>48.85</v>
      </c>
      <c r="K132" s="66">
        <v>59.69</v>
      </c>
      <c r="L132" s="66">
        <v>64.86</v>
      </c>
      <c r="M132" s="66">
        <v>38.29</v>
      </c>
      <c r="N132" s="66">
        <v>57.48</v>
      </c>
      <c r="O132" s="66">
        <v>61.44</v>
      </c>
      <c r="P132" s="65" t="s">
        <v>208</v>
      </c>
      <c r="Q132" s="66">
        <v>80.06</v>
      </c>
      <c r="R132" s="66">
        <v>60.46</v>
      </c>
      <c r="S132" s="66">
        <v>61.01</v>
      </c>
    </row>
    <row r="133" spans="1:19" x14ac:dyDescent="0.35">
      <c r="A133" s="76">
        <v>45780</v>
      </c>
      <c r="B133" s="65" t="s">
        <v>330</v>
      </c>
      <c r="C133" s="66">
        <v>55.08</v>
      </c>
      <c r="D133" s="66">
        <v>50.62</v>
      </c>
      <c r="E133" s="66">
        <v>54.99</v>
      </c>
      <c r="F133" s="66">
        <v>52.86</v>
      </c>
      <c r="G133" s="66">
        <v>53.22</v>
      </c>
      <c r="H133" s="66">
        <v>18.39</v>
      </c>
      <c r="I133" s="66">
        <v>56.66</v>
      </c>
      <c r="J133" s="66">
        <v>47.79</v>
      </c>
      <c r="K133" s="66">
        <v>54.12</v>
      </c>
      <c r="L133" s="66">
        <v>68.400000000000006</v>
      </c>
      <c r="M133" s="66">
        <v>42.19</v>
      </c>
      <c r="N133" s="66">
        <v>53.77</v>
      </c>
      <c r="O133" s="66">
        <v>54.47</v>
      </c>
      <c r="P133" s="65" t="s">
        <v>208</v>
      </c>
      <c r="Q133" s="66">
        <v>80.87</v>
      </c>
      <c r="R133" s="66">
        <v>55.67</v>
      </c>
      <c r="S133" s="66">
        <v>58.92</v>
      </c>
    </row>
    <row r="134" spans="1:19" x14ac:dyDescent="0.35">
      <c r="A134" s="76">
        <v>45781</v>
      </c>
      <c r="B134" s="65" t="s">
        <v>331</v>
      </c>
      <c r="C134" s="66">
        <v>33.54</v>
      </c>
      <c r="D134" s="66">
        <v>32.5</v>
      </c>
      <c r="E134" s="66">
        <v>31.67</v>
      </c>
      <c r="F134" s="66">
        <v>33.53</v>
      </c>
      <c r="G134" s="66">
        <v>33.54</v>
      </c>
      <c r="H134" s="66">
        <v>12.42</v>
      </c>
      <c r="I134" s="66">
        <v>33.15</v>
      </c>
      <c r="J134" s="66">
        <v>32.75</v>
      </c>
      <c r="K134" s="66">
        <v>33.76</v>
      </c>
      <c r="L134" s="66">
        <v>53.69</v>
      </c>
      <c r="M134" s="66">
        <v>28.47</v>
      </c>
      <c r="N134" s="66">
        <v>30.85</v>
      </c>
      <c r="O134" s="66">
        <v>33.68</v>
      </c>
      <c r="P134" s="65" t="s">
        <v>208</v>
      </c>
      <c r="Q134" s="66">
        <v>51.1</v>
      </c>
      <c r="R134" s="66">
        <v>33.85</v>
      </c>
      <c r="S134" s="66">
        <v>33.85</v>
      </c>
    </row>
    <row r="135" spans="1:19" x14ac:dyDescent="0.35">
      <c r="A135" s="76">
        <v>45782</v>
      </c>
      <c r="B135" s="65" t="s">
        <v>332</v>
      </c>
      <c r="C135" s="66">
        <v>87.4</v>
      </c>
      <c r="D135" s="66">
        <v>74.430000000000007</v>
      </c>
      <c r="E135" s="66">
        <v>68.989999999999995</v>
      </c>
      <c r="F135" s="66">
        <v>82.58</v>
      </c>
      <c r="G135" s="66">
        <v>79.680000000000007</v>
      </c>
      <c r="H135" s="66">
        <v>13.49</v>
      </c>
      <c r="I135" s="66">
        <v>71.599999999999994</v>
      </c>
      <c r="J135" s="66">
        <v>80.180000000000007</v>
      </c>
      <c r="K135" s="66">
        <v>90.01</v>
      </c>
      <c r="L135" s="66">
        <v>94.41</v>
      </c>
      <c r="M135" s="66">
        <v>61.87</v>
      </c>
      <c r="N135" s="66">
        <v>83.7</v>
      </c>
      <c r="O135" s="66">
        <v>92.22</v>
      </c>
      <c r="P135" s="65" t="s">
        <v>208</v>
      </c>
      <c r="Q135" s="66">
        <v>105.05</v>
      </c>
      <c r="R135" s="66">
        <v>93.38</v>
      </c>
      <c r="S135" s="66">
        <v>99.15</v>
      </c>
    </row>
    <row r="136" spans="1:19" x14ac:dyDescent="0.35">
      <c r="A136" s="76">
        <v>45783</v>
      </c>
      <c r="B136" s="65" t="s">
        <v>333</v>
      </c>
      <c r="C136" s="66">
        <v>90.96</v>
      </c>
      <c r="D136" s="66">
        <v>79.95</v>
      </c>
      <c r="E136" s="66">
        <v>77.2</v>
      </c>
      <c r="F136" s="66">
        <v>90.15</v>
      </c>
      <c r="G136" s="66">
        <v>81.17</v>
      </c>
      <c r="H136" s="66">
        <v>13.59</v>
      </c>
      <c r="I136" s="66">
        <v>88.23</v>
      </c>
      <c r="J136" s="66">
        <v>87.97</v>
      </c>
      <c r="K136" s="66">
        <v>91.7</v>
      </c>
      <c r="L136" s="66">
        <v>90.62</v>
      </c>
      <c r="M136" s="66">
        <v>75</v>
      </c>
      <c r="N136" s="66">
        <v>90.02</v>
      </c>
      <c r="O136" s="66">
        <v>93.84</v>
      </c>
      <c r="P136" s="65" t="s">
        <v>208</v>
      </c>
      <c r="Q136" s="66">
        <v>99.76</v>
      </c>
      <c r="R136" s="66">
        <v>102.7</v>
      </c>
      <c r="S136" s="66">
        <v>96.96</v>
      </c>
    </row>
    <row r="137" spans="1:19" x14ac:dyDescent="0.35">
      <c r="A137" s="76">
        <v>45784</v>
      </c>
      <c r="B137" s="65" t="s">
        <v>334</v>
      </c>
      <c r="C137" s="66">
        <v>98.93</v>
      </c>
      <c r="D137" s="66">
        <v>90.04</v>
      </c>
      <c r="E137" s="66">
        <v>89.2</v>
      </c>
      <c r="F137" s="66">
        <v>98.93</v>
      </c>
      <c r="G137" s="66">
        <v>98.86</v>
      </c>
      <c r="H137" s="66">
        <v>21.73</v>
      </c>
      <c r="I137" s="66">
        <v>95.64</v>
      </c>
      <c r="J137" s="66">
        <v>96.21</v>
      </c>
      <c r="K137" s="66">
        <v>97.4</v>
      </c>
      <c r="L137" s="66">
        <v>100.57</v>
      </c>
      <c r="M137" s="66">
        <v>96.98</v>
      </c>
      <c r="N137" s="66">
        <v>94.6</v>
      </c>
      <c r="O137" s="66">
        <v>100.25</v>
      </c>
      <c r="P137" s="65" t="s">
        <v>208</v>
      </c>
      <c r="Q137" s="66">
        <v>109.29</v>
      </c>
      <c r="R137" s="66">
        <v>109.18</v>
      </c>
      <c r="S137" s="66">
        <v>103.33</v>
      </c>
    </row>
    <row r="138" spans="1:19" x14ac:dyDescent="0.35">
      <c r="A138" s="76">
        <v>45785</v>
      </c>
      <c r="B138" s="65" t="s">
        <v>335</v>
      </c>
      <c r="C138" s="66">
        <v>103.18</v>
      </c>
      <c r="D138" s="66">
        <v>92.54</v>
      </c>
      <c r="E138" s="66">
        <v>88.85</v>
      </c>
      <c r="F138" s="66">
        <v>103.18</v>
      </c>
      <c r="G138" s="66">
        <v>104.16</v>
      </c>
      <c r="H138" s="66">
        <v>10.07</v>
      </c>
      <c r="I138" s="66">
        <v>97.75</v>
      </c>
      <c r="J138" s="66">
        <v>99.8</v>
      </c>
      <c r="K138" s="66">
        <v>103.64</v>
      </c>
      <c r="L138" s="66">
        <v>108.26</v>
      </c>
      <c r="M138" s="66">
        <v>103.78</v>
      </c>
      <c r="N138" s="66">
        <v>95.39</v>
      </c>
      <c r="O138" s="66">
        <v>103.11</v>
      </c>
      <c r="P138" s="65" t="s">
        <v>208</v>
      </c>
      <c r="Q138" s="66">
        <v>100.57</v>
      </c>
      <c r="R138" s="66">
        <v>108.08</v>
      </c>
      <c r="S138" s="66">
        <v>113.71</v>
      </c>
    </row>
    <row r="139" spans="1:19" x14ac:dyDescent="0.35">
      <c r="A139" s="76">
        <v>45786</v>
      </c>
      <c r="B139" s="65" t="s">
        <v>336</v>
      </c>
      <c r="C139" s="66">
        <v>81.11</v>
      </c>
      <c r="D139" s="66">
        <v>78.62</v>
      </c>
      <c r="E139" s="66">
        <v>70.78</v>
      </c>
      <c r="F139" s="66">
        <v>80.87</v>
      </c>
      <c r="G139" s="66">
        <v>91.27</v>
      </c>
      <c r="H139" s="66">
        <v>15.3</v>
      </c>
      <c r="I139" s="66">
        <v>80.05</v>
      </c>
      <c r="J139" s="66">
        <v>75.59</v>
      </c>
      <c r="K139" s="66">
        <v>78.86</v>
      </c>
      <c r="L139" s="66">
        <v>107.59</v>
      </c>
      <c r="M139" s="66">
        <v>91.68</v>
      </c>
      <c r="N139" s="66">
        <v>91.17</v>
      </c>
      <c r="O139" s="66">
        <v>81.62</v>
      </c>
      <c r="P139" s="65" t="s">
        <v>208</v>
      </c>
      <c r="Q139" s="66">
        <v>103</v>
      </c>
      <c r="R139" s="66">
        <v>87.12</v>
      </c>
      <c r="S139" s="66">
        <v>90.47</v>
      </c>
    </row>
    <row r="140" spans="1:19" x14ac:dyDescent="0.35">
      <c r="A140" s="76">
        <v>45787</v>
      </c>
      <c r="B140" s="65" t="s">
        <v>337</v>
      </c>
      <c r="C140" s="66">
        <v>52.3</v>
      </c>
      <c r="D140" s="66">
        <v>57.37</v>
      </c>
      <c r="E140" s="66">
        <v>43.69</v>
      </c>
      <c r="F140" s="66">
        <v>67.930000000000007</v>
      </c>
      <c r="G140" s="66">
        <v>69.77</v>
      </c>
      <c r="H140" s="66">
        <v>-1.05</v>
      </c>
      <c r="I140" s="66">
        <v>49.19</v>
      </c>
      <c r="J140" s="66">
        <v>66.290000000000006</v>
      </c>
      <c r="K140" s="66">
        <v>51.38</v>
      </c>
      <c r="L140" s="66">
        <v>110.07</v>
      </c>
      <c r="M140" s="66">
        <v>66.73</v>
      </c>
      <c r="N140" s="66">
        <v>54.3</v>
      </c>
      <c r="O140" s="66">
        <v>52.79</v>
      </c>
      <c r="P140" s="65" t="s">
        <v>208</v>
      </c>
      <c r="Q140" s="66">
        <v>82.99</v>
      </c>
      <c r="R140" s="66">
        <v>57.04</v>
      </c>
      <c r="S140" s="66">
        <v>55.13</v>
      </c>
    </row>
    <row r="141" spans="1:19" x14ac:dyDescent="0.35">
      <c r="A141" s="76">
        <v>45788</v>
      </c>
      <c r="B141" s="65" t="s">
        <v>338</v>
      </c>
      <c r="C141" s="66">
        <v>19.41</v>
      </c>
      <c r="D141" s="66">
        <v>29.98</v>
      </c>
      <c r="E141" s="66">
        <v>-9.9700000000000006</v>
      </c>
      <c r="F141" s="66">
        <v>56.97</v>
      </c>
      <c r="G141" s="66">
        <v>58.95</v>
      </c>
      <c r="H141" s="66">
        <v>-5.84</v>
      </c>
      <c r="I141" s="66">
        <v>5.46</v>
      </c>
      <c r="J141" s="66">
        <v>57.52</v>
      </c>
      <c r="K141" s="66">
        <v>17.03</v>
      </c>
      <c r="L141" s="66">
        <v>62.6</v>
      </c>
      <c r="M141" s="66">
        <v>58.2</v>
      </c>
      <c r="N141" s="66">
        <v>4.68</v>
      </c>
      <c r="O141" s="66">
        <v>24.18</v>
      </c>
      <c r="P141" s="65" t="s">
        <v>208</v>
      </c>
      <c r="Q141" s="66">
        <v>76.19</v>
      </c>
      <c r="R141" s="66">
        <v>48.6</v>
      </c>
      <c r="S141" s="66">
        <v>32.4</v>
      </c>
    </row>
    <row r="142" spans="1:19" x14ac:dyDescent="0.35">
      <c r="A142" s="76">
        <v>45789</v>
      </c>
      <c r="B142" s="65" t="s">
        <v>339</v>
      </c>
      <c r="C142" s="66">
        <v>69.61</v>
      </c>
      <c r="D142" s="66">
        <v>72.02</v>
      </c>
      <c r="E142" s="66">
        <v>63.11</v>
      </c>
      <c r="F142" s="66">
        <v>75.930000000000007</v>
      </c>
      <c r="G142" s="66">
        <v>84.31</v>
      </c>
      <c r="H142" s="66">
        <v>25.6</v>
      </c>
      <c r="I142" s="66">
        <v>62.54</v>
      </c>
      <c r="J142" s="66">
        <v>74.34</v>
      </c>
      <c r="K142" s="66">
        <v>71.760000000000005</v>
      </c>
      <c r="L142" s="66">
        <v>96.46</v>
      </c>
      <c r="M142" s="66">
        <v>84.95</v>
      </c>
      <c r="N142" s="66">
        <v>73.31</v>
      </c>
      <c r="O142" s="66">
        <v>79.959999999999994</v>
      </c>
      <c r="P142" s="65" t="s">
        <v>208</v>
      </c>
      <c r="Q142" s="66">
        <v>100.75</v>
      </c>
      <c r="R142" s="66">
        <v>136.59</v>
      </c>
      <c r="S142" s="66">
        <v>105.09</v>
      </c>
    </row>
    <row r="143" spans="1:19" x14ac:dyDescent="0.35">
      <c r="A143" s="76">
        <v>45790</v>
      </c>
      <c r="B143" s="65" t="s">
        <v>340</v>
      </c>
      <c r="C143" s="66">
        <v>79.5</v>
      </c>
      <c r="D143" s="66">
        <v>76.900000000000006</v>
      </c>
      <c r="E143" s="66">
        <v>70.489999999999995</v>
      </c>
      <c r="F143" s="66">
        <v>78.91</v>
      </c>
      <c r="G143" s="66">
        <v>80.19</v>
      </c>
      <c r="H143" s="66">
        <v>46.55</v>
      </c>
      <c r="I143" s="66">
        <v>75.400000000000006</v>
      </c>
      <c r="J143" s="66">
        <v>80.2</v>
      </c>
      <c r="K143" s="66">
        <v>76.819999999999993</v>
      </c>
      <c r="L143" s="66">
        <v>97.42</v>
      </c>
      <c r="M143" s="66">
        <v>79.900000000000006</v>
      </c>
      <c r="N143" s="66">
        <v>75.91</v>
      </c>
      <c r="O143" s="66">
        <v>84.16</v>
      </c>
      <c r="P143" s="65" t="s">
        <v>208</v>
      </c>
      <c r="Q143" s="66">
        <v>113.78</v>
      </c>
      <c r="R143" s="66">
        <v>115.86</v>
      </c>
      <c r="S143" s="66">
        <v>94.55</v>
      </c>
    </row>
    <row r="144" spans="1:19" x14ac:dyDescent="0.35">
      <c r="A144" s="76">
        <v>45791</v>
      </c>
      <c r="B144" s="65" t="s">
        <v>341</v>
      </c>
      <c r="C144" s="66">
        <v>69.06</v>
      </c>
      <c r="D144" s="66">
        <v>65.760000000000005</v>
      </c>
      <c r="E144" s="66">
        <v>58.58</v>
      </c>
      <c r="F144" s="66">
        <v>70.760000000000005</v>
      </c>
      <c r="G144" s="66">
        <v>65.03</v>
      </c>
      <c r="H144" s="66">
        <v>34.24</v>
      </c>
      <c r="I144" s="66">
        <v>65.08</v>
      </c>
      <c r="J144" s="66">
        <v>69.98</v>
      </c>
      <c r="K144" s="66">
        <v>68.08</v>
      </c>
      <c r="L144" s="66">
        <v>87.2</v>
      </c>
      <c r="M144" s="66">
        <v>61.75</v>
      </c>
      <c r="N144" s="66">
        <v>71.05</v>
      </c>
      <c r="O144" s="66">
        <v>71.61</v>
      </c>
      <c r="P144" s="65" t="s">
        <v>208</v>
      </c>
      <c r="Q144" s="66">
        <v>102.39</v>
      </c>
      <c r="R144" s="66">
        <v>106.7</v>
      </c>
      <c r="S144" s="66">
        <v>92.32</v>
      </c>
    </row>
    <row r="145" spans="1:19" x14ac:dyDescent="0.35">
      <c r="A145" s="76">
        <v>45792</v>
      </c>
      <c r="B145" s="65" t="s">
        <v>342</v>
      </c>
      <c r="C145" s="66">
        <v>66.239999999999995</v>
      </c>
      <c r="D145" s="66">
        <v>63.37</v>
      </c>
      <c r="E145" s="66">
        <v>67.33</v>
      </c>
      <c r="F145" s="66">
        <v>64.31</v>
      </c>
      <c r="G145" s="66">
        <v>50</v>
      </c>
      <c r="H145" s="66">
        <v>15.51</v>
      </c>
      <c r="I145" s="66">
        <v>64.209999999999994</v>
      </c>
      <c r="J145" s="66">
        <v>63.99</v>
      </c>
      <c r="K145" s="66">
        <v>75.7</v>
      </c>
      <c r="L145" s="66">
        <v>96.38</v>
      </c>
      <c r="M145" s="66">
        <v>50.37</v>
      </c>
      <c r="N145" s="66">
        <v>70.8</v>
      </c>
      <c r="O145" s="66">
        <v>78.489999999999995</v>
      </c>
      <c r="P145" s="65" t="s">
        <v>208</v>
      </c>
      <c r="Q145" s="66">
        <v>100.2</v>
      </c>
      <c r="R145" s="66">
        <v>94.04</v>
      </c>
      <c r="S145" s="66">
        <v>83.88</v>
      </c>
    </row>
    <row r="146" spans="1:19" x14ac:dyDescent="0.35">
      <c r="A146" s="76">
        <v>45793</v>
      </c>
      <c r="B146" s="65" t="s">
        <v>343</v>
      </c>
      <c r="C146" s="66">
        <v>73.400000000000006</v>
      </c>
      <c r="D146" s="66">
        <v>64.739999999999995</v>
      </c>
      <c r="E146" s="66">
        <v>67.45</v>
      </c>
      <c r="F146" s="66">
        <v>72.31</v>
      </c>
      <c r="G146" s="66">
        <v>53.96</v>
      </c>
      <c r="H146" s="66">
        <v>11.24</v>
      </c>
      <c r="I146" s="66">
        <v>70.849999999999994</v>
      </c>
      <c r="J146" s="66">
        <v>70.59</v>
      </c>
      <c r="K146" s="66">
        <v>75.739999999999995</v>
      </c>
      <c r="L146" s="66">
        <v>103.17</v>
      </c>
      <c r="M146" s="66">
        <v>31.15</v>
      </c>
      <c r="N146" s="66">
        <v>74.41</v>
      </c>
      <c r="O146" s="66">
        <v>81.3</v>
      </c>
      <c r="P146" s="65" t="s">
        <v>208</v>
      </c>
      <c r="Q146" s="66">
        <v>91.59</v>
      </c>
      <c r="R146" s="66">
        <v>96.1</v>
      </c>
      <c r="S146" s="66">
        <v>89</v>
      </c>
    </row>
    <row r="147" spans="1:19" x14ac:dyDescent="0.35">
      <c r="A147" s="76">
        <v>45794</v>
      </c>
      <c r="B147" s="65" t="s">
        <v>344</v>
      </c>
      <c r="C147" s="66">
        <v>59.51</v>
      </c>
      <c r="D147" s="66">
        <v>54.79</v>
      </c>
      <c r="E147" s="66">
        <v>60.15</v>
      </c>
      <c r="F147" s="66">
        <v>59.79</v>
      </c>
      <c r="G147" s="66">
        <v>42.52</v>
      </c>
      <c r="H147" s="66">
        <v>14.25</v>
      </c>
      <c r="I147" s="66">
        <v>58.66</v>
      </c>
      <c r="J147" s="66">
        <v>58.86</v>
      </c>
      <c r="K147" s="66">
        <v>56.58</v>
      </c>
      <c r="L147" s="66">
        <v>106.82</v>
      </c>
      <c r="M147" s="66">
        <v>31.86</v>
      </c>
      <c r="N147" s="66">
        <v>53.66</v>
      </c>
      <c r="O147" s="66">
        <v>59.51</v>
      </c>
      <c r="P147" s="65" t="s">
        <v>208</v>
      </c>
      <c r="Q147" s="66">
        <v>89.34</v>
      </c>
      <c r="R147" s="66">
        <v>74.569999999999993</v>
      </c>
      <c r="S147" s="66">
        <v>78.19</v>
      </c>
    </row>
    <row r="148" spans="1:19" x14ac:dyDescent="0.35">
      <c r="A148" s="76">
        <v>45795</v>
      </c>
      <c r="B148" s="65" t="s">
        <v>345</v>
      </c>
      <c r="C148" s="66">
        <v>62.93</v>
      </c>
      <c r="D148" s="66">
        <v>57.63</v>
      </c>
      <c r="E148" s="66">
        <v>64.12</v>
      </c>
      <c r="F148" s="66">
        <v>62.92</v>
      </c>
      <c r="G148" s="66">
        <v>63.28</v>
      </c>
      <c r="H148" s="66">
        <v>14.33</v>
      </c>
      <c r="I148" s="66">
        <v>62.57</v>
      </c>
      <c r="J148" s="66">
        <v>59.4</v>
      </c>
      <c r="K148" s="66">
        <v>64.010000000000005</v>
      </c>
      <c r="L148" s="66">
        <v>101.36</v>
      </c>
      <c r="M148" s="66">
        <v>23.88</v>
      </c>
      <c r="N148" s="66">
        <v>54.95</v>
      </c>
      <c r="O148" s="66">
        <v>63.15</v>
      </c>
      <c r="P148" s="65" t="s">
        <v>208</v>
      </c>
      <c r="Q148" s="66">
        <v>68.75</v>
      </c>
      <c r="R148" s="66">
        <v>66.16</v>
      </c>
      <c r="S148" s="66">
        <v>65.97</v>
      </c>
    </row>
    <row r="149" spans="1:19" x14ac:dyDescent="0.35">
      <c r="A149" s="76">
        <v>45796</v>
      </c>
      <c r="B149" s="65" t="s">
        <v>346</v>
      </c>
      <c r="C149" s="66">
        <v>95.54</v>
      </c>
      <c r="D149" s="66">
        <v>82.61</v>
      </c>
      <c r="E149" s="66">
        <v>83.4</v>
      </c>
      <c r="F149" s="66">
        <v>91.89</v>
      </c>
      <c r="G149" s="66">
        <v>87.06</v>
      </c>
      <c r="H149" s="66">
        <v>24.6</v>
      </c>
      <c r="I149" s="66">
        <v>90.04</v>
      </c>
      <c r="J149" s="66">
        <v>77.3</v>
      </c>
      <c r="K149" s="66">
        <v>95.24</v>
      </c>
      <c r="L149" s="66">
        <v>113.65</v>
      </c>
      <c r="M149" s="66">
        <v>58.14</v>
      </c>
      <c r="N149" s="66">
        <v>90.68</v>
      </c>
      <c r="O149" s="66">
        <v>96.74</v>
      </c>
      <c r="P149" s="65" t="s">
        <v>208</v>
      </c>
      <c r="Q149" s="66">
        <v>99.06</v>
      </c>
      <c r="R149" s="66">
        <v>103.56</v>
      </c>
      <c r="S149" s="66">
        <v>98.56</v>
      </c>
    </row>
    <row r="150" spans="1:19" x14ac:dyDescent="0.35">
      <c r="A150" s="76">
        <v>45797</v>
      </c>
      <c r="B150" s="65" t="s">
        <v>347</v>
      </c>
      <c r="C150" s="66">
        <v>91.14</v>
      </c>
      <c r="D150" s="66">
        <v>77.290000000000006</v>
      </c>
      <c r="E150" s="66">
        <v>80.63</v>
      </c>
      <c r="F150" s="66">
        <v>83.31</v>
      </c>
      <c r="G150" s="66">
        <v>74.430000000000007</v>
      </c>
      <c r="H150" s="66">
        <v>22.38</v>
      </c>
      <c r="I150" s="66">
        <v>85.26</v>
      </c>
      <c r="J150" s="66">
        <v>75.599999999999994</v>
      </c>
      <c r="K150" s="66">
        <v>91.41</v>
      </c>
      <c r="L150" s="66">
        <v>97.56</v>
      </c>
      <c r="M150" s="66">
        <v>51.89</v>
      </c>
      <c r="N150" s="66">
        <v>94</v>
      </c>
      <c r="O150" s="66">
        <v>93.69</v>
      </c>
      <c r="P150" s="65" t="s">
        <v>208</v>
      </c>
      <c r="Q150" s="66">
        <v>119.07</v>
      </c>
      <c r="R150" s="66">
        <v>129.66</v>
      </c>
      <c r="S150" s="66">
        <v>108.42</v>
      </c>
    </row>
    <row r="151" spans="1:19" x14ac:dyDescent="0.35">
      <c r="A151" s="76">
        <v>45798</v>
      </c>
      <c r="B151" s="65" t="s">
        <v>348</v>
      </c>
      <c r="C151" s="66">
        <v>71.349999999999994</v>
      </c>
      <c r="D151" s="66">
        <v>67.31</v>
      </c>
      <c r="E151" s="66">
        <v>99.75</v>
      </c>
      <c r="F151" s="66">
        <v>36.35</v>
      </c>
      <c r="G151" s="66">
        <v>44.44</v>
      </c>
      <c r="H151" s="66">
        <v>33.770000000000003</v>
      </c>
      <c r="I151" s="66">
        <v>72.7</v>
      </c>
      <c r="J151" s="66">
        <v>58.11</v>
      </c>
      <c r="K151" s="66">
        <v>71.349999999999994</v>
      </c>
      <c r="L151" s="66">
        <v>89.6</v>
      </c>
      <c r="M151" s="66">
        <v>42.43</v>
      </c>
      <c r="N151" s="66">
        <v>98.63</v>
      </c>
      <c r="O151" s="66">
        <v>93.33</v>
      </c>
      <c r="P151" s="65" t="s">
        <v>208</v>
      </c>
      <c r="Q151" s="66">
        <v>105.97</v>
      </c>
      <c r="R151" s="66">
        <v>107.27</v>
      </c>
      <c r="S151" s="66">
        <v>126.92</v>
      </c>
    </row>
    <row r="152" spans="1:19" x14ac:dyDescent="0.35">
      <c r="A152" s="76">
        <v>45799</v>
      </c>
      <c r="B152" s="65" t="s">
        <v>349</v>
      </c>
      <c r="C152" s="66">
        <v>61.22</v>
      </c>
      <c r="D152" s="66">
        <v>65.31</v>
      </c>
      <c r="E152" s="66">
        <v>62.09</v>
      </c>
      <c r="F152" s="66">
        <v>29.38</v>
      </c>
      <c r="G152" s="66">
        <v>32.270000000000003</v>
      </c>
      <c r="H152" s="66">
        <v>20.74</v>
      </c>
      <c r="I152" s="66">
        <v>63.82</v>
      </c>
      <c r="J152" s="66">
        <v>53.18</v>
      </c>
      <c r="K152" s="66">
        <v>103.49</v>
      </c>
      <c r="L152" s="66">
        <v>117.67</v>
      </c>
      <c r="M152" s="66">
        <v>30.8</v>
      </c>
      <c r="N152" s="66">
        <v>101.31</v>
      </c>
      <c r="O152" s="66">
        <v>103.64</v>
      </c>
      <c r="P152" s="65" t="s">
        <v>208</v>
      </c>
      <c r="Q152" s="66">
        <v>112.15</v>
      </c>
      <c r="R152" s="66">
        <v>105.08</v>
      </c>
      <c r="S152" s="66">
        <v>101.79</v>
      </c>
    </row>
    <row r="153" spans="1:19" x14ac:dyDescent="0.35">
      <c r="A153" s="76">
        <v>45800</v>
      </c>
      <c r="B153" s="65" t="s">
        <v>350</v>
      </c>
      <c r="C153" s="66">
        <v>82.57</v>
      </c>
      <c r="D153" s="66">
        <v>78.55</v>
      </c>
      <c r="E153" s="66">
        <v>67.459999999999994</v>
      </c>
      <c r="F153" s="66">
        <v>76.16</v>
      </c>
      <c r="G153" s="66">
        <v>78.69</v>
      </c>
      <c r="H153" s="66">
        <v>16.55</v>
      </c>
      <c r="I153" s="66">
        <v>76.239999999999995</v>
      </c>
      <c r="J153" s="66">
        <v>76.03</v>
      </c>
      <c r="K153" s="66">
        <v>95.51</v>
      </c>
      <c r="L153" s="66">
        <v>114.96</v>
      </c>
      <c r="M153" s="66">
        <v>71.97</v>
      </c>
      <c r="N153" s="66">
        <v>95.26</v>
      </c>
      <c r="O153" s="66">
        <v>95.26</v>
      </c>
      <c r="P153" s="65" t="s">
        <v>208</v>
      </c>
      <c r="Q153" s="66">
        <v>114.92</v>
      </c>
      <c r="R153" s="66">
        <v>117</v>
      </c>
      <c r="S153" s="66">
        <v>106.29</v>
      </c>
    </row>
    <row r="154" spans="1:19" x14ac:dyDescent="0.35">
      <c r="A154" s="76">
        <v>45801</v>
      </c>
      <c r="B154" s="65" t="s">
        <v>351</v>
      </c>
      <c r="C154" s="66">
        <v>58.1</v>
      </c>
      <c r="D154" s="66">
        <v>57.66</v>
      </c>
      <c r="E154" s="66">
        <v>49.3</v>
      </c>
      <c r="F154" s="66">
        <v>57.79</v>
      </c>
      <c r="G154" s="66">
        <v>56.87</v>
      </c>
      <c r="H154" s="66">
        <v>12.67</v>
      </c>
      <c r="I154" s="66">
        <v>57.23</v>
      </c>
      <c r="J154" s="66">
        <v>57.77</v>
      </c>
      <c r="K154" s="66">
        <v>63.16</v>
      </c>
      <c r="L154" s="66">
        <v>99.04</v>
      </c>
      <c r="M154" s="66">
        <v>53.86</v>
      </c>
      <c r="N154" s="66">
        <v>65.27</v>
      </c>
      <c r="O154" s="66">
        <v>61.33</v>
      </c>
      <c r="P154" s="65" t="s">
        <v>208</v>
      </c>
      <c r="Q154" s="66">
        <v>83.63</v>
      </c>
      <c r="R154" s="66">
        <v>66.58</v>
      </c>
      <c r="S154" s="66">
        <v>67.14</v>
      </c>
    </row>
    <row r="155" spans="1:19" x14ac:dyDescent="0.35">
      <c r="A155" s="76">
        <v>45802</v>
      </c>
      <c r="B155" s="65" t="s">
        <v>352</v>
      </c>
      <c r="C155" s="66">
        <v>23.71</v>
      </c>
      <c r="D155" s="66">
        <v>24.43</v>
      </c>
      <c r="E155" s="66">
        <v>15.91</v>
      </c>
      <c r="F155" s="66">
        <v>13.47</v>
      </c>
      <c r="G155" s="66">
        <v>18.440000000000001</v>
      </c>
      <c r="H155" s="66">
        <v>4.1900000000000004</v>
      </c>
      <c r="I155" s="66">
        <v>18.579999999999998</v>
      </c>
      <c r="J155" s="66">
        <v>28.55</v>
      </c>
      <c r="K155" s="66">
        <v>30.4</v>
      </c>
      <c r="L155" s="66">
        <v>61.53</v>
      </c>
      <c r="M155" s="66">
        <v>16.7</v>
      </c>
      <c r="N155" s="66">
        <v>34.31</v>
      </c>
      <c r="O155" s="66">
        <v>26.66</v>
      </c>
      <c r="P155" s="65" t="s">
        <v>208</v>
      </c>
      <c r="Q155" s="66">
        <v>47.74</v>
      </c>
      <c r="R155" s="66">
        <v>30.75</v>
      </c>
      <c r="S155" s="66">
        <v>29.05</v>
      </c>
    </row>
    <row r="156" spans="1:19" x14ac:dyDescent="0.35">
      <c r="A156" s="76">
        <v>45803</v>
      </c>
      <c r="B156" s="65" t="s">
        <v>353</v>
      </c>
      <c r="C156" s="66">
        <v>72.91</v>
      </c>
      <c r="D156" s="66">
        <v>68.430000000000007</v>
      </c>
      <c r="E156" s="66">
        <v>58.8</v>
      </c>
      <c r="F156" s="66">
        <v>47.85</v>
      </c>
      <c r="G156" s="66">
        <v>66.819999999999993</v>
      </c>
      <c r="H156" s="66">
        <v>20.93</v>
      </c>
      <c r="I156" s="66">
        <v>64.790000000000006</v>
      </c>
      <c r="J156" s="66">
        <v>56.02</v>
      </c>
      <c r="K156" s="66">
        <v>86.25</v>
      </c>
      <c r="L156" s="66">
        <v>115.77</v>
      </c>
      <c r="M156" s="66">
        <v>61.88</v>
      </c>
      <c r="N156" s="66">
        <v>87.41</v>
      </c>
      <c r="O156" s="66">
        <v>86.17</v>
      </c>
      <c r="P156" s="65" t="s">
        <v>208</v>
      </c>
      <c r="Q156" s="66">
        <v>105.72</v>
      </c>
      <c r="R156" s="66">
        <v>96.89</v>
      </c>
      <c r="S156" s="66">
        <v>94.29</v>
      </c>
    </row>
    <row r="157" spans="1:19" x14ac:dyDescent="0.35">
      <c r="A157" s="76">
        <v>45804</v>
      </c>
      <c r="B157" s="65" t="s">
        <v>354</v>
      </c>
      <c r="C157" s="66">
        <v>61.85</v>
      </c>
      <c r="D157" s="66">
        <v>59.72</v>
      </c>
      <c r="E157" s="66">
        <v>53.37</v>
      </c>
      <c r="F157" s="66">
        <v>37.24</v>
      </c>
      <c r="G157" s="66">
        <v>48.37</v>
      </c>
      <c r="H157" s="66">
        <v>30.49</v>
      </c>
      <c r="I157" s="66">
        <v>55.07</v>
      </c>
      <c r="J157" s="66">
        <v>52.91</v>
      </c>
      <c r="K157" s="66">
        <v>71.09</v>
      </c>
      <c r="L157" s="66">
        <v>97.91</v>
      </c>
      <c r="M157" s="66">
        <v>46.68</v>
      </c>
      <c r="N157" s="66">
        <v>91.12</v>
      </c>
      <c r="O157" s="66">
        <v>72.680000000000007</v>
      </c>
      <c r="P157" s="65" t="s">
        <v>208</v>
      </c>
      <c r="Q157" s="66">
        <v>115.95</v>
      </c>
      <c r="R157" s="66">
        <v>77.790000000000006</v>
      </c>
      <c r="S157" s="66">
        <v>79.45</v>
      </c>
    </row>
    <row r="158" spans="1:19" x14ac:dyDescent="0.35">
      <c r="A158" s="76">
        <v>45805</v>
      </c>
      <c r="B158" s="65" t="s">
        <v>355</v>
      </c>
      <c r="C158" s="66">
        <v>84.19</v>
      </c>
      <c r="D158" s="66">
        <v>80.819999999999993</v>
      </c>
      <c r="E158" s="66">
        <v>74.8</v>
      </c>
      <c r="F158" s="66">
        <v>83.66</v>
      </c>
      <c r="G158" s="66">
        <v>84.17</v>
      </c>
      <c r="H158" s="66">
        <v>27.09</v>
      </c>
      <c r="I158" s="66">
        <v>82.78</v>
      </c>
      <c r="J158" s="66">
        <v>73.98</v>
      </c>
      <c r="K158" s="66">
        <v>89.25</v>
      </c>
      <c r="L158" s="66">
        <v>113.89</v>
      </c>
      <c r="M158" s="66">
        <v>82.17</v>
      </c>
      <c r="N158" s="66">
        <v>86.45</v>
      </c>
      <c r="O158" s="66">
        <v>90.77</v>
      </c>
      <c r="P158" s="65" t="s">
        <v>208</v>
      </c>
      <c r="Q158" s="66">
        <v>110.3</v>
      </c>
      <c r="R158" s="66">
        <v>97.72</v>
      </c>
      <c r="S158" s="66">
        <v>94</v>
      </c>
    </row>
    <row r="159" spans="1:19" x14ac:dyDescent="0.35">
      <c r="A159" s="76">
        <v>45806</v>
      </c>
      <c r="B159" s="65" t="s">
        <v>356</v>
      </c>
      <c r="C159" s="66">
        <v>56.29</v>
      </c>
      <c r="D159" s="66">
        <v>57.18</v>
      </c>
      <c r="E159" s="66">
        <v>59.37</v>
      </c>
      <c r="F159" s="66">
        <v>53.44</v>
      </c>
      <c r="G159" s="66">
        <v>56.84</v>
      </c>
      <c r="H159" s="66">
        <v>30.56</v>
      </c>
      <c r="I159" s="66">
        <v>59.99</v>
      </c>
      <c r="J159" s="66">
        <v>52.9</v>
      </c>
      <c r="K159" s="66">
        <v>58.84</v>
      </c>
      <c r="L159" s="66">
        <v>87.4</v>
      </c>
      <c r="M159" s="66">
        <v>53.94</v>
      </c>
      <c r="N159" s="66">
        <v>54.48</v>
      </c>
      <c r="O159" s="66">
        <v>61.22</v>
      </c>
      <c r="P159" s="65" t="s">
        <v>208</v>
      </c>
      <c r="Q159" s="66">
        <v>93.75</v>
      </c>
      <c r="R159" s="66">
        <v>73.86</v>
      </c>
      <c r="S159" s="66">
        <v>72.87</v>
      </c>
    </row>
    <row r="160" spans="1:19" x14ac:dyDescent="0.35">
      <c r="A160" s="76">
        <v>45807</v>
      </c>
      <c r="B160" s="65" t="s">
        <v>357</v>
      </c>
      <c r="C160" s="66">
        <v>48.19</v>
      </c>
      <c r="D160" s="66">
        <v>49.54</v>
      </c>
      <c r="E160" s="66">
        <v>47.62</v>
      </c>
      <c r="F160" s="66">
        <v>39.51</v>
      </c>
      <c r="G160" s="66">
        <v>23.47</v>
      </c>
      <c r="H160" s="66">
        <v>42.03</v>
      </c>
      <c r="I160" s="66">
        <v>48.11</v>
      </c>
      <c r="J160" s="66">
        <v>46.55</v>
      </c>
      <c r="K160" s="66">
        <v>52.52</v>
      </c>
      <c r="L160" s="66">
        <v>116.39</v>
      </c>
      <c r="M160" s="66">
        <v>23.06</v>
      </c>
      <c r="N160" s="66">
        <v>50.74</v>
      </c>
      <c r="O160" s="66">
        <v>54.96</v>
      </c>
      <c r="P160" s="65" t="s">
        <v>208</v>
      </c>
      <c r="Q160" s="66">
        <v>92.26</v>
      </c>
      <c r="R160" s="66">
        <v>53.87</v>
      </c>
      <c r="S160" s="66">
        <v>57.04</v>
      </c>
    </row>
    <row r="161" spans="1:19" x14ac:dyDescent="0.35">
      <c r="A161" s="76">
        <v>45808</v>
      </c>
      <c r="B161" s="65" t="s">
        <v>358</v>
      </c>
      <c r="C161" s="66">
        <v>70.510000000000005</v>
      </c>
      <c r="D161" s="66">
        <v>60.84</v>
      </c>
      <c r="E161" s="66">
        <v>62.15</v>
      </c>
      <c r="F161" s="66">
        <v>69.55</v>
      </c>
      <c r="G161" s="66">
        <v>56.36</v>
      </c>
      <c r="H161" s="66">
        <v>29.36</v>
      </c>
      <c r="I161" s="66">
        <v>69.34</v>
      </c>
      <c r="J161" s="66">
        <v>55.73</v>
      </c>
      <c r="K161" s="66">
        <v>67.41</v>
      </c>
      <c r="L161" s="66">
        <v>88.79</v>
      </c>
      <c r="M161" s="66">
        <v>41.3</v>
      </c>
      <c r="N161" s="66">
        <v>58.86</v>
      </c>
      <c r="O161" s="66">
        <v>70.36</v>
      </c>
      <c r="P161" s="65" t="s">
        <v>208</v>
      </c>
      <c r="Q161" s="66">
        <v>88.91</v>
      </c>
      <c r="R161" s="66">
        <v>72.61</v>
      </c>
      <c r="S161" s="66">
        <v>72.900000000000006</v>
      </c>
    </row>
    <row r="162" spans="1:19" x14ac:dyDescent="0.35">
      <c r="A162" s="76">
        <v>45809</v>
      </c>
      <c r="B162" s="65" t="s">
        <v>359</v>
      </c>
      <c r="C162" s="66">
        <v>39.58</v>
      </c>
      <c r="D162" s="66">
        <v>38.51</v>
      </c>
      <c r="E162" s="66">
        <v>37.76</v>
      </c>
      <c r="F162" s="66">
        <v>36.130000000000003</v>
      </c>
      <c r="G162" s="66">
        <v>34.659999999999997</v>
      </c>
      <c r="H162" s="66">
        <v>15.52</v>
      </c>
      <c r="I162" s="66">
        <v>40.32</v>
      </c>
      <c r="J162" s="66">
        <v>37.21</v>
      </c>
      <c r="K162" s="66">
        <v>39.450000000000003</v>
      </c>
      <c r="L162" s="66">
        <v>71.5</v>
      </c>
      <c r="M162" s="66">
        <v>32.57</v>
      </c>
      <c r="N162" s="66">
        <v>39.549999999999997</v>
      </c>
      <c r="O162" s="66">
        <v>38.94</v>
      </c>
      <c r="P162" s="65" t="s">
        <v>208</v>
      </c>
      <c r="Q162" s="66">
        <v>85.44</v>
      </c>
      <c r="R162" s="66">
        <v>41.84</v>
      </c>
      <c r="S162" s="66">
        <v>53.69</v>
      </c>
    </row>
    <row r="163" spans="1:19" x14ac:dyDescent="0.35">
      <c r="A163" s="76">
        <v>45810</v>
      </c>
      <c r="B163" s="65" t="s">
        <v>360</v>
      </c>
      <c r="C163" s="66">
        <v>87.04</v>
      </c>
      <c r="D163" s="66">
        <v>75.59</v>
      </c>
      <c r="E163" s="66">
        <v>75.44</v>
      </c>
      <c r="F163" s="66">
        <v>77.64</v>
      </c>
      <c r="G163" s="66">
        <v>67.489999999999995</v>
      </c>
      <c r="H163" s="66">
        <v>36.56</v>
      </c>
      <c r="I163" s="66">
        <v>83.85</v>
      </c>
      <c r="J163" s="66">
        <v>62.96</v>
      </c>
      <c r="K163" s="66">
        <v>83.44</v>
      </c>
      <c r="L163" s="66">
        <v>118.92</v>
      </c>
      <c r="M163" s="66">
        <v>51.58</v>
      </c>
      <c r="N163" s="66">
        <v>77.739999999999995</v>
      </c>
      <c r="O163" s="66">
        <v>95.85</v>
      </c>
      <c r="P163" s="65" t="s">
        <v>208</v>
      </c>
      <c r="Q163" s="66">
        <v>92.51</v>
      </c>
      <c r="R163" s="66">
        <v>116.53</v>
      </c>
      <c r="S163" s="66">
        <v>107.63</v>
      </c>
    </row>
    <row r="164" spans="1:19" x14ac:dyDescent="0.35">
      <c r="A164" s="76">
        <v>45811</v>
      </c>
      <c r="B164" s="65" t="s">
        <v>361</v>
      </c>
      <c r="C164" s="66">
        <v>71.69</v>
      </c>
      <c r="D164" s="66">
        <v>65.790000000000006</v>
      </c>
      <c r="E164" s="66">
        <v>54.55</v>
      </c>
      <c r="F164" s="66">
        <v>57.85</v>
      </c>
      <c r="G164" s="66">
        <v>69.36</v>
      </c>
      <c r="H164" s="66">
        <v>17.239999999999998</v>
      </c>
      <c r="I164" s="66">
        <v>60.02</v>
      </c>
      <c r="J164" s="66">
        <v>50.42</v>
      </c>
      <c r="K164" s="66">
        <v>81.98</v>
      </c>
      <c r="L164" s="66">
        <v>115.12</v>
      </c>
      <c r="M164" s="66">
        <v>52.29</v>
      </c>
      <c r="N164" s="66">
        <v>78.5</v>
      </c>
      <c r="O164" s="66">
        <v>86.33</v>
      </c>
      <c r="P164" s="65" t="s">
        <v>208</v>
      </c>
      <c r="Q164" s="66">
        <v>108.18</v>
      </c>
      <c r="R164" s="66">
        <v>89.06</v>
      </c>
      <c r="S164" s="66">
        <v>93.12</v>
      </c>
    </row>
    <row r="165" spans="1:19" x14ac:dyDescent="0.35">
      <c r="A165" s="76">
        <v>45812</v>
      </c>
      <c r="B165" s="65" t="s">
        <v>362</v>
      </c>
      <c r="C165" s="66">
        <v>83.11</v>
      </c>
      <c r="D165" s="66">
        <v>66.08</v>
      </c>
      <c r="E165" s="66">
        <v>72.88</v>
      </c>
      <c r="F165" s="66">
        <v>73.41</v>
      </c>
      <c r="G165" s="66">
        <v>65.73</v>
      </c>
      <c r="H165" s="66">
        <v>20.66</v>
      </c>
      <c r="I165" s="66">
        <v>76.91</v>
      </c>
      <c r="J165" s="66">
        <v>65.760000000000005</v>
      </c>
      <c r="K165" s="66">
        <v>64.59</v>
      </c>
      <c r="L165" s="66">
        <v>87.47</v>
      </c>
      <c r="M165" s="66">
        <v>46.14</v>
      </c>
      <c r="N165" s="66">
        <v>70.73</v>
      </c>
      <c r="O165" s="66">
        <v>82.66</v>
      </c>
      <c r="P165" s="65" t="s">
        <v>208</v>
      </c>
      <c r="Q165" s="66">
        <v>116.82</v>
      </c>
      <c r="R165" s="66">
        <v>105.21</v>
      </c>
      <c r="S165" s="66">
        <v>104.83</v>
      </c>
    </row>
    <row r="166" spans="1:19" x14ac:dyDescent="0.35">
      <c r="A166" s="76">
        <v>45813</v>
      </c>
      <c r="B166" s="65" t="s">
        <v>363</v>
      </c>
      <c r="C166" s="66">
        <v>80.16</v>
      </c>
      <c r="D166" s="66">
        <v>70.540000000000006</v>
      </c>
      <c r="E166" s="66">
        <v>76.540000000000006</v>
      </c>
      <c r="F166" s="66">
        <v>74.52</v>
      </c>
      <c r="G166" s="66">
        <v>80.16</v>
      </c>
      <c r="H166" s="66">
        <v>5.23</v>
      </c>
      <c r="I166" s="66">
        <v>78.03</v>
      </c>
      <c r="J166" s="66">
        <v>68.73</v>
      </c>
      <c r="K166" s="66">
        <v>73.27</v>
      </c>
      <c r="L166" s="66">
        <v>108.05</v>
      </c>
      <c r="M166" s="66">
        <v>63.72</v>
      </c>
      <c r="N166" s="66">
        <v>62.96</v>
      </c>
      <c r="O166" s="66">
        <v>84.71</v>
      </c>
      <c r="P166" s="65" t="s">
        <v>208</v>
      </c>
      <c r="Q166" s="66">
        <v>110.85</v>
      </c>
      <c r="R166" s="66">
        <v>109.32</v>
      </c>
      <c r="S166" s="66">
        <v>96.97</v>
      </c>
    </row>
    <row r="167" spans="1:19" x14ac:dyDescent="0.35">
      <c r="A167" s="76">
        <v>45814</v>
      </c>
      <c r="B167" s="65" t="s">
        <v>364</v>
      </c>
      <c r="C167" s="66">
        <v>48.63</v>
      </c>
      <c r="D167" s="66">
        <v>49.05</v>
      </c>
      <c r="E167" s="66">
        <v>44.84</v>
      </c>
      <c r="F167" s="66">
        <v>50.31</v>
      </c>
      <c r="G167" s="66">
        <v>47.99</v>
      </c>
      <c r="H167" s="66">
        <v>22.67</v>
      </c>
      <c r="I167" s="66">
        <v>46.98</v>
      </c>
      <c r="J167" s="66">
        <v>54.15</v>
      </c>
      <c r="K167" s="66">
        <v>50.46</v>
      </c>
      <c r="L167" s="66">
        <v>80.489999999999995</v>
      </c>
      <c r="M167" s="66">
        <v>37.97</v>
      </c>
      <c r="N167" s="66">
        <v>43.86</v>
      </c>
      <c r="O167" s="66">
        <v>59.82</v>
      </c>
      <c r="P167" s="65" t="s">
        <v>208</v>
      </c>
      <c r="Q167" s="66">
        <v>113.54</v>
      </c>
      <c r="R167" s="66">
        <v>91.06</v>
      </c>
      <c r="S167" s="66">
        <v>84.46</v>
      </c>
    </row>
    <row r="168" spans="1:19" x14ac:dyDescent="0.35">
      <c r="A168" s="76">
        <v>45815</v>
      </c>
      <c r="B168" s="65" t="s">
        <v>365</v>
      </c>
      <c r="C168" s="66">
        <v>59.72</v>
      </c>
      <c r="D168" s="66">
        <v>55.64</v>
      </c>
      <c r="E168" s="66">
        <v>65.45</v>
      </c>
      <c r="F168" s="66">
        <v>59.73</v>
      </c>
      <c r="G168" s="66">
        <v>59.72</v>
      </c>
      <c r="H168" s="66">
        <v>14.78</v>
      </c>
      <c r="I168" s="66">
        <v>66.150000000000006</v>
      </c>
      <c r="J168" s="66">
        <v>57.36</v>
      </c>
      <c r="K168" s="66">
        <v>53.05</v>
      </c>
      <c r="L168" s="66">
        <v>88.97</v>
      </c>
      <c r="M168" s="66">
        <v>25.41</v>
      </c>
      <c r="N168" s="66">
        <v>56.35</v>
      </c>
      <c r="O168" s="66">
        <v>65.03</v>
      </c>
      <c r="P168" s="65" t="s">
        <v>208</v>
      </c>
      <c r="Q168" s="66">
        <v>82.65</v>
      </c>
      <c r="R168" s="66">
        <v>76</v>
      </c>
      <c r="S168" s="66">
        <v>85.68</v>
      </c>
    </row>
    <row r="169" spans="1:19" x14ac:dyDescent="0.35">
      <c r="A169" s="76">
        <v>45816</v>
      </c>
      <c r="B169" s="65" t="s">
        <v>366</v>
      </c>
      <c r="C169" s="66">
        <v>22.64</v>
      </c>
      <c r="D169" s="66">
        <v>31.9</v>
      </c>
      <c r="E169" s="66">
        <v>25.58</v>
      </c>
      <c r="F169" s="66">
        <v>32.53</v>
      </c>
      <c r="G169" s="66">
        <v>32.799999999999997</v>
      </c>
      <c r="H169" s="66">
        <v>2.4900000000000002</v>
      </c>
      <c r="I169" s="66">
        <v>28.73</v>
      </c>
      <c r="J169" s="66">
        <v>31.11</v>
      </c>
      <c r="K169" s="66">
        <v>39.43</v>
      </c>
      <c r="L169" s="66">
        <v>45.17</v>
      </c>
      <c r="M169" s="66">
        <v>32.51</v>
      </c>
      <c r="N169" s="66">
        <v>18.04</v>
      </c>
      <c r="O169" s="66">
        <v>62.55</v>
      </c>
      <c r="P169" s="65" t="s">
        <v>208</v>
      </c>
      <c r="Q169" s="66">
        <v>68.040000000000006</v>
      </c>
      <c r="R169" s="66">
        <v>57.9</v>
      </c>
      <c r="S169" s="66">
        <v>54.43</v>
      </c>
    </row>
    <row r="170" spans="1:19" x14ac:dyDescent="0.35">
      <c r="A170" s="76">
        <v>45817</v>
      </c>
      <c r="B170" s="65" t="s">
        <v>367</v>
      </c>
      <c r="C170" s="66">
        <v>33.31</v>
      </c>
      <c r="D170" s="66">
        <v>37.31</v>
      </c>
      <c r="E170" s="66">
        <v>40.880000000000003</v>
      </c>
      <c r="F170" s="66">
        <v>34.83</v>
      </c>
      <c r="G170" s="66">
        <v>35.090000000000003</v>
      </c>
      <c r="H170" s="66">
        <v>16.3</v>
      </c>
      <c r="I170" s="66">
        <v>50.68</v>
      </c>
      <c r="J170" s="66">
        <v>41.59</v>
      </c>
      <c r="K170" s="66">
        <v>36.89</v>
      </c>
      <c r="L170" s="66">
        <v>41.98</v>
      </c>
      <c r="M170" s="66">
        <v>23.8</v>
      </c>
      <c r="N170" s="66">
        <v>24.04</v>
      </c>
      <c r="O170" s="66">
        <v>64.3</v>
      </c>
      <c r="P170" s="65" t="s">
        <v>208</v>
      </c>
      <c r="Q170" s="66">
        <v>99.3</v>
      </c>
      <c r="R170" s="66">
        <v>88.96</v>
      </c>
      <c r="S170" s="66">
        <v>68.11</v>
      </c>
    </row>
    <row r="171" spans="1:19" x14ac:dyDescent="0.35">
      <c r="A171" s="76">
        <v>45818</v>
      </c>
      <c r="B171" s="65" t="s">
        <v>368</v>
      </c>
      <c r="C171" s="66">
        <v>54.12</v>
      </c>
      <c r="D171" s="66">
        <v>62.08</v>
      </c>
      <c r="E171" s="66">
        <v>64.849999999999994</v>
      </c>
      <c r="F171" s="66">
        <v>61.36</v>
      </c>
      <c r="G171" s="66">
        <v>61.41</v>
      </c>
      <c r="H171" s="66">
        <v>26.25</v>
      </c>
      <c r="I171" s="66">
        <v>60.19</v>
      </c>
      <c r="J171" s="66">
        <v>60.87</v>
      </c>
      <c r="K171" s="66">
        <v>60.83</v>
      </c>
      <c r="L171" s="66">
        <v>103.93</v>
      </c>
      <c r="M171" s="66">
        <v>60.45</v>
      </c>
      <c r="N171" s="66">
        <v>55.64</v>
      </c>
      <c r="O171" s="66">
        <v>67.05</v>
      </c>
      <c r="P171" s="65" t="s">
        <v>208</v>
      </c>
      <c r="Q171" s="66">
        <v>109.79</v>
      </c>
      <c r="R171" s="66">
        <v>90.4</v>
      </c>
      <c r="S171" s="66">
        <v>79.680000000000007</v>
      </c>
    </row>
    <row r="172" spans="1:19" x14ac:dyDescent="0.35">
      <c r="A172" s="76">
        <v>45819</v>
      </c>
      <c r="B172" s="65" t="s">
        <v>369</v>
      </c>
      <c r="C172" s="66">
        <v>71.599999999999994</v>
      </c>
      <c r="D172" s="66">
        <v>69.39</v>
      </c>
      <c r="E172" s="66">
        <v>76.430000000000007</v>
      </c>
      <c r="F172" s="66">
        <v>70.83</v>
      </c>
      <c r="G172" s="66">
        <v>71.22</v>
      </c>
      <c r="H172" s="66">
        <v>30.56</v>
      </c>
      <c r="I172" s="66">
        <v>79.459999999999994</v>
      </c>
      <c r="J172" s="66">
        <v>68.319999999999993</v>
      </c>
      <c r="K172" s="66">
        <v>70.650000000000006</v>
      </c>
      <c r="L172" s="66">
        <v>91.89</v>
      </c>
      <c r="M172" s="66">
        <v>70.23</v>
      </c>
      <c r="N172" s="66">
        <v>55.49</v>
      </c>
      <c r="O172" s="66">
        <v>78.16</v>
      </c>
      <c r="P172" s="65" t="s">
        <v>208</v>
      </c>
      <c r="Q172" s="66">
        <v>115.15</v>
      </c>
      <c r="R172" s="66">
        <v>87.86</v>
      </c>
      <c r="S172" s="66">
        <v>81.72</v>
      </c>
    </row>
    <row r="173" spans="1:19" x14ac:dyDescent="0.35">
      <c r="A173" s="76">
        <v>45820</v>
      </c>
      <c r="B173" s="65" t="s">
        <v>370</v>
      </c>
      <c r="C173" s="66">
        <v>59.28</v>
      </c>
      <c r="D173" s="66">
        <v>59.21</v>
      </c>
      <c r="E173" s="66">
        <v>52.85</v>
      </c>
      <c r="F173" s="66">
        <v>62.78</v>
      </c>
      <c r="G173" s="66">
        <v>62.87</v>
      </c>
      <c r="H173" s="66">
        <v>27.28</v>
      </c>
      <c r="I173" s="66">
        <v>57.66</v>
      </c>
      <c r="J173" s="66">
        <v>61.05</v>
      </c>
      <c r="K173" s="66">
        <v>64.12</v>
      </c>
      <c r="L173" s="66">
        <v>79.23</v>
      </c>
      <c r="M173" s="66">
        <v>58.28</v>
      </c>
      <c r="N173" s="66">
        <v>56.23</v>
      </c>
      <c r="O173" s="66">
        <v>68.989999999999995</v>
      </c>
      <c r="P173" s="65" t="s">
        <v>208</v>
      </c>
      <c r="Q173" s="66">
        <v>113.99</v>
      </c>
      <c r="R173" s="66">
        <v>90.65</v>
      </c>
      <c r="S173" s="66">
        <v>82.54</v>
      </c>
    </row>
    <row r="174" spans="1:19" x14ac:dyDescent="0.35">
      <c r="A174" s="76">
        <v>45821</v>
      </c>
      <c r="B174" s="65" t="s">
        <v>371</v>
      </c>
      <c r="C174" s="66">
        <v>52.09</v>
      </c>
      <c r="D174" s="66">
        <v>61.21</v>
      </c>
      <c r="E174" s="66">
        <v>69.73</v>
      </c>
      <c r="F174" s="66">
        <v>51.03</v>
      </c>
      <c r="G174" s="66">
        <v>51.51</v>
      </c>
      <c r="H174" s="66">
        <v>49.56</v>
      </c>
      <c r="I174" s="66">
        <v>72.22</v>
      </c>
      <c r="J174" s="66">
        <v>56.5</v>
      </c>
      <c r="K174" s="66">
        <v>60.32</v>
      </c>
      <c r="L174" s="66">
        <v>90.93</v>
      </c>
      <c r="M174" s="66">
        <v>51.12</v>
      </c>
      <c r="N174" s="66">
        <v>52.3</v>
      </c>
      <c r="O174" s="66">
        <v>68.14</v>
      </c>
      <c r="P174" s="65" t="s">
        <v>208</v>
      </c>
      <c r="Q174" s="66">
        <v>116.07</v>
      </c>
      <c r="R174" s="66">
        <v>82.67</v>
      </c>
      <c r="S174" s="66">
        <v>76.42</v>
      </c>
    </row>
    <row r="175" spans="1:19" x14ac:dyDescent="0.35">
      <c r="A175" s="76">
        <v>45822</v>
      </c>
      <c r="B175" s="65" t="s">
        <v>372</v>
      </c>
      <c r="C175" s="66">
        <v>44.38</v>
      </c>
      <c r="D175" s="66">
        <v>47.61</v>
      </c>
      <c r="E175" s="66">
        <v>55.3</v>
      </c>
      <c r="F175" s="66">
        <v>44.86</v>
      </c>
      <c r="G175" s="66">
        <v>43.3</v>
      </c>
      <c r="H175" s="66">
        <v>29.54</v>
      </c>
      <c r="I175" s="66">
        <v>55.79</v>
      </c>
      <c r="J175" s="66">
        <v>47.5</v>
      </c>
      <c r="K175" s="66">
        <v>46.88</v>
      </c>
      <c r="L175" s="66">
        <v>77.86</v>
      </c>
      <c r="M175" s="66">
        <v>29.6</v>
      </c>
      <c r="N175" s="66">
        <v>42.7</v>
      </c>
      <c r="O175" s="66">
        <v>50.43</v>
      </c>
      <c r="P175" s="65" t="s">
        <v>208</v>
      </c>
      <c r="Q175" s="66">
        <v>115.12</v>
      </c>
      <c r="R175" s="66">
        <v>54.45</v>
      </c>
      <c r="S175" s="66">
        <v>58.07</v>
      </c>
    </row>
    <row r="176" spans="1:19" x14ac:dyDescent="0.35">
      <c r="A176" s="76">
        <v>45823</v>
      </c>
      <c r="B176" s="65" t="s">
        <v>373</v>
      </c>
      <c r="C176" s="66">
        <v>61.84</v>
      </c>
      <c r="D176" s="66">
        <v>57</v>
      </c>
      <c r="E176" s="66">
        <v>62.43</v>
      </c>
      <c r="F176" s="66">
        <v>61.95</v>
      </c>
      <c r="G176" s="66">
        <v>60.71</v>
      </c>
      <c r="H176" s="66">
        <v>17.440000000000001</v>
      </c>
      <c r="I176" s="66">
        <v>63.48</v>
      </c>
      <c r="J176" s="66">
        <v>57.08</v>
      </c>
      <c r="K176" s="66">
        <v>59.67</v>
      </c>
      <c r="L176" s="66">
        <v>70.709999999999994</v>
      </c>
      <c r="M176" s="66">
        <v>52.57</v>
      </c>
      <c r="N176" s="66">
        <v>58.33</v>
      </c>
      <c r="O176" s="66">
        <v>62.59</v>
      </c>
      <c r="P176" s="65" t="s">
        <v>208</v>
      </c>
      <c r="Q176" s="66">
        <v>114.69</v>
      </c>
      <c r="R176" s="66">
        <v>63.53</v>
      </c>
      <c r="S176" s="66">
        <v>63.77</v>
      </c>
    </row>
    <row r="177" spans="1:19" x14ac:dyDescent="0.35">
      <c r="A177" s="76">
        <v>45824</v>
      </c>
      <c r="B177" s="65" t="s">
        <v>374</v>
      </c>
      <c r="C177" s="66">
        <v>81.099999999999994</v>
      </c>
      <c r="D177" s="66">
        <v>75.11</v>
      </c>
      <c r="E177" s="66">
        <v>87.37</v>
      </c>
      <c r="F177" s="66">
        <v>73.36</v>
      </c>
      <c r="G177" s="66">
        <v>59.33</v>
      </c>
      <c r="H177" s="66">
        <v>35.380000000000003</v>
      </c>
      <c r="I177" s="66">
        <v>84.6</v>
      </c>
      <c r="J177" s="66">
        <v>68.67</v>
      </c>
      <c r="K177" s="66">
        <v>85.89</v>
      </c>
      <c r="L177" s="66">
        <v>94.8</v>
      </c>
      <c r="M177" s="66">
        <v>55.76</v>
      </c>
      <c r="N177" s="66">
        <v>78.319999999999993</v>
      </c>
      <c r="O177" s="66">
        <v>102.73</v>
      </c>
      <c r="P177" s="65" t="s">
        <v>208</v>
      </c>
      <c r="Q177" s="66">
        <v>122.76</v>
      </c>
      <c r="R177" s="66">
        <v>103.26</v>
      </c>
      <c r="S177" s="66">
        <v>96.3</v>
      </c>
    </row>
    <row r="178" spans="1:19" x14ac:dyDescent="0.35">
      <c r="A178" s="76">
        <v>45825</v>
      </c>
      <c r="B178" s="65" t="s">
        <v>375</v>
      </c>
      <c r="C178" s="66">
        <v>84.65</v>
      </c>
      <c r="D178" s="66">
        <v>73.17</v>
      </c>
      <c r="E178" s="66">
        <v>82.56</v>
      </c>
      <c r="F178" s="66">
        <v>74.2</v>
      </c>
      <c r="G178" s="66">
        <v>61.63</v>
      </c>
      <c r="H178" s="66">
        <v>47.12</v>
      </c>
      <c r="I178" s="66">
        <v>86.2</v>
      </c>
      <c r="J178" s="66">
        <v>66.58</v>
      </c>
      <c r="K178" s="66">
        <v>83.68</v>
      </c>
      <c r="L178" s="66">
        <v>95.82</v>
      </c>
      <c r="M178" s="66">
        <v>42.25</v>
      </c>
      <c r="N178" s="66">
        <v>77.680000000000007</v>
      </c>
      <c r="O178" s="66">
        <v>87.17</v>
      </c>
      <c r="P178" s="65" t="s">
        <v>208</v>
      </c>
      <c r="Q178" s="66">
        <v>114.44</v>
      </c>
      <c r="R178" s="66">
        <v>96.09</v>
      </c>
      <c r="S178" s="66">
        <v>93.43</v>
      </c>
    </row>
    <row r="179" spans="1:19" x14ac:dyDescent="0.35">
      <c r="A179" s="76">
        <v>45826</v>
      </c>
      <c r="B179" s="65" t="s">
        <v>376</v>
      </c>
      <c r="C179" s="66">
        <v>79.819999999999993</v>
      </c>
      <c r="D179" s="66">
        <v>72.680000000000007</v>
      </c>
      <c r="E179" s="66">
        <v>81.17</v>
      </c>
      <c r="F179" s="66">
        <v>70.5</v>
      </c>
      <c r="G179" s="66">
        <v>57.51</v>
      </c>
      <c r="H179" s="66">
        <v>65.16</v>
      </c>
      <c r="I179" s="66">
        <v>81.040000000000006</v>
      </c>
      <c r="J179" s="66">
        <v>64.86</v>
      </c>
      <c r="K179" s="66">
        <v>77.37</v>
      </c>
      <c r="L179" s="66">
        <v>90.87</v>
      </c>
      <c r="M179" s="66">
        <v>50.3</v>
      </c>
      <c r="N179" s="66">
        <v>74.58</v>
      </c>
      <c r="O179" s="66">
        <v>86.13</v>
      </c>
      <c r="P179" s="65" t="s">
        <v>208</v>
      </c>
      <c r="Q179" s="66">
        <v>120.58</v>
      </c>
      <c r="R179" s="66">
        <v>102.44</v>
      </c>
      <c r="S179" s="66">
        <v>95.15</v>
      </c>
    </row>
    <row r="180" spans="1:19" x14ac:dyDescent="0.35">
      <c r="A180" s="76">
        <v>45827</v>
      </c>
      <c r="B180" s="65" t="s">
        <v>377</v>
      </c>
      <c r="C180" s="66">
        <v>56.02</v>
      </c>
      <c r="D180" s="66">
        <v>56.79</v>
      </c>
      <c r="E180" s="66">
        <v>70.569999999999993</v>
      </c>
      <c r="F180" s="66">
        <v>59.4</v>
      </c>
      <c r="G180" s="66">
        <v>47.28</v>
      </c>
      <c r="H180" s="66">
        <v>46.19</v>
      </c>
      <c r="I180" s="66">
        <v>68.77</v>
      </c>
      <c r="J180" s="66">
        <v>56.33</v>
      </c>
      <c r="K180" s="66">
        <v>59.55</v>
      </c>
      <c r="L180" s="66">
        <v>39.270000000000003</v>
      </c>
      <c r="M180" s="66">
        <v>35.78</v>
      </c>
      <c r="N180" s="66">
        <v>68.11</v>
      </c>
      <c r="O180" s="66">
        <v>73.42</v>
      </c>
      <c r="P180" s="65" t="s">
        <v>208</v>
      </c>
      <c r="Q180" s="66">
        <v>121.82</v>
      </c>
      <c r="R180" s="66">
        <v>85.8</v>
      </c>
      <c r="S180" s="66">
        <v>90.02</v>
      </c>
    </row>
    <row r="181" spans="1:19" x14ac:dyDescent="0.35">
      <c r="A181" s="76">
        <v>45828</v>
      </c>
      <c r="B181" s="65" t="s">
        <v>378</v>
      </c>
      <c r="C181" s="66">
        <v>87.05</v>
      </c>
      <c r="D181" s="66">
        <v>77.97</v>
      </c>
      <c r="E181" s="66">
        <v>84.25</v>
      </c>
      <c r="F181" s="66">
        <v>86.55</v>
      </c>
      <c r="G181" s="66">
        <v>86.64</v>
      </c>
      <c r="H181" s="66">
        <v>71.34</v>
      </c>
      <c r="I181" s="66">
        <v>86.84</v>
      </c>
      <c r="J181" s="66">
        <v>71.16</v>
      </c>
      <c r="K181" s="66">
        <v>84.25</v>
      </c>
      <c r="L181" s="66">
        <v>83.51</v>
      </c>
      <c r="M181" s="66">
        <v>37.89</v>
      </c>
      <c r="N181" s="66">
        <v>78.11</v>
      </c>
      <c r="O181" s="66">
        <v>87.07</v>
      </c>
      <c r="P181" s="65" t="s">
        <v>208</v>
      </c>
      <c r="Q181" s="66">
        <v>117.43</v>
      </c>
      <c r="R181" s="66">
        <v>91.21</v>
      </c>
      <c r="S181" s="66">
        <v>88.28</v>
      </c>
    </row>
    <row r="182" spans="1:19" x14ac:dyDescent="0.35">
      <c r="A182" s="76">
        <v>45829</v>
      </c>
      <c r="B182" s="65" t="s">
        <v>379</v>
      </c>
      <c r="C182" s="66">
        <v>72.61</v>
      </c>
      <c r="D182" s="66">
        <v>66.569999999999993</v>
      </c>
      <c r="E182" s="66">
        <v>71.95</v>
      </c>
      <c r="F182" s="66">
        <v>72.84</v>
      </c>
      <c r="G182" s="66">
        <v>72.61</v>
      </c>
      <c r="H182" s="66">
        <v>71.760000000000005</v>
      </c>
      <c r="I182" s="66">
        <v>72.94</v>
      </c>
      <c r="J182" s="66">
        <v>63.7</v>
      </c>
      <c r="K182" s="66">
        <v>69.45</v>
      </c>
      <c r="L182" s="66">
        <v>77.3</v>
      </c>
      <c r="M182" s="66">
        <v>18.510000000000002</v>
      </c>
      <c r="N182" s="66">
        <v>68</v>
      </c>
      <c r="O182" s="66">
        <v>73.19</v>
      </c>
      <c r="P182" s="65" t="s">
        <v>208</v>
      </c>
      <c r="Q182" s="66">
        <v>111.54</v>
      </c>
      <c r="R182" s="66">
        <v>76.790000000000006</v>
      </c>
      <c r="S182" s="66">
        <v>73.849999999999994</v>
      </c>
    </row>
    <row r="183" spans="1:19" x14ac:dyDescent="0.35">
      <c r="A183" s="76">
        <v>45830</v>
      </c>
      <c r="B183" s="65" t="s">
        <v>380</v>
      </c>
      <c r="C183" s="66">
        <v>41.47</v>
      </c>
      <c r="D183" s="66">
        <v>41.52</v>
      </c>
      <c r="E183" s="66">
        <v>41.99</v>
      </c>
      <c r="F183" s="66">
        <v>50.26</v>
      </c>
      <c r="G183" s="66">
        <v>50.81</v>
      </c>
      <c r="H183" s="66">
        <v>24.12</v>
      </c>
      <c r="I183" s="66">
        <v>51.46</v>
      </c>
      <c r="J183" s="66">
        <v>43.95</v>
      </c>
      <c r="K183" s="66">
        <v>44.48</v>
      </c>
      <c r="L183" s="66">
        <v>46.79</v>
      </c>
      <c r="M183" s="66">
        <v>16.73</v>
      </c>
      <c r="N183" s="66">
        <v>40.659999999999997</v>
      </c>
      <c r="O183" s="66">
        <v>45.48</v>
      </c>
      <c r="P183" s="65" t="s">
        <v>208</v>
      </c>
      <c r="Q183" s="66">
        <v>102.39</v>
      </c>
      <c r="R183" s="66">
        <v>48.7</v>
      </c>
      <c r="S183" s="66">
        <v>46.08</v>
      </c>
    </row>
    <row r="184" spans="1:19" x14ac:dyDescent="0.35">
      <c r="A184" s="76">
        <v>45831</v>
      </c>
      <c r="B184" s="65" t="s">
        <v>381</v>
      </c>
      <c r="C184" s="66">
        <v>38.74</v>
      </c>
      <c r="D184" s="66">
        <v>45.96</v>
      </c>
      <c r="E184" s="66">
        <v>38.46</v>
      </c>
      <c r="F184" s="66">
        <v>25.32</v>
      </c>
      <c r="G184" s="66">
        <v>24.55</v>
      </c>
      <c r="H184" s="66">
        <v>26.8</v>
      </c>
      <c r="I184" s="66">
        <v>41.76</v>
      </c>
      <c r="J184" s="66">
        <v>32.47</v>
      </c>
      <c r="K184" s="66">
        <v>57.07</v>
      </c>
      <c r="L184" s="66">
        <v>70.67</v>
      </c>
      <c r="M184" s="66">
        <v>12.91</v>
      </c>
      <c r="N184" s="66">
        <v>66.42</v>
      </c>
      <c r="O184" s="66">
        <v>109.1</v>
      </c>
      <c r="P184" s="65" t="s">
        <v>208</v>
      </c>
      <c r="Q184" s="66">
        <v>135.56</v>
      </c>
      <c r="R184" s="66">
        <v>107.71</v>
      </c>
      <c r="S184" s="66">
        <v>94.88</v>
      </c>
    </row>
    <row r="185" spans="1:19" x14ac:dyDescent="0.35">
      <c r="A185" s="76">
        <v>45832</v>
      </c>
      <c r="B185" s="65" t="s">
        <v>382</v>
      </c>
      <c r="C185" s="66">
        <v>47.22</v>
      </c>
      <c r="D185" s="66">
        <v>49.79</v>
      </c>
      <c r="E185" s="66">
        <v>56.99</v>
      </c>
      <c r="F185" s="66">
        <v>24.27</v>
      </c>
      <c r="G185" s="66">
        <v>20.37</v>
      </c>
      <c r="H185" s="66">
        <v>56.26</v>
      </c>
      <c r="I185" s="66">
        <v>57.63</v>
      </c>
      <c r="J185" s="66">
        <v>43.9</v>
      </c>
      <c r="K185" s="66">
        <v>60.05</v>
      </c>
      <c r="L185" s="66">
        <v>61.15</v>
      </c>
      <c r="M185" s="66">
        <v>4.2300000000000004</v>
      </c>
      <c r="N185" s="66">
        <v>60.57</v>
      </c>
      <c r="O185" s="66">
        <v>102.21</v>
      </c>
      <c r="P185" s="65" t="s">
        <v>208</v>
      </c>
      <c r="Q185" s="66">
        <v>132.6</v>
      </c>
      <c r="R185" s="66">
        <v>99.28</v>
      </c>
      <c r="S185" s="66">
        <v>92.13</v>
      </c>
    </row>
    <row r="186" spans="1:19" x14ac:dyDescent="0.35">
      <c r="A186" s="76">
        <v>45833</v>
      </c>
      <c r="B186" s="65" t="s">
        <v>383</v>
      </c>
      <c r="C186" s="66">
        <v>80.150000000000006</v>
      </c>
      <c r="D186" s="66">
        <v>74.989999999999995</v>
      </c>
      <c r="E186" s="66">
        <v>86.4</v>
      </c>
      <c r="F186" s="66">
        <v>66.23</v>
      </c>
      <c r="G186" s="66">
        <v>71.37</v>
      </c>
      <c r="H186" s="66">
        <v>77.64</v>
      </c>
      <c r="I186" s="66">
        <v>97.47</v>
      </c>
      <c r="J186" s="66">
        <v>62.88</v>
      </c>
      <c r="K186" s="66">
        <v>85.79</v>
      </c>
      <c r="L186" s="66">
        <v>78.319999999999993</v>
      </c>
      <c r="M186" s="66">
        <v>24.63</v>
      </c>
      <c r="N186" s="66">
        <v>81.430000000000007</v>
      </c>
      <c r="O186" s="66">
        <v>92.79</v>
      </c>
      <c r="P186" s="65" t="s">
        <v>208</v>
      </c>
      <c r="Q186" s="66">
        <v>127.04</v>
      </c>
      <c r="R186" s="66">
        <v>104.51</v>
      </c>
      <c r="S186" s="66">
        <v>104.18</v>
      </c>
    </row>
    <row r="187" spans="1:19" x14ac:dyDescent="0.35">
      <c r="A187" s="76">
        <v>45834</v>
      </c>
      <c r="B187" s="65" t="s">
        <v>384</v>
      </c>
      <c r="C187" s="66">
        <v>91.36</v>
      </c>
      <c r="D187" s="66">
        <v>91.39</v>
      </c>
      <c r="E187" s="66">
        <v>89.55</v>
      </c>
      <c r="F187" s="66">
        <v>91.36</v>
      </c>
      <c r="G187" s="66">
        <v>91.36</v>
      </c>
      <c r="H187" s="66">
        <v>81.83</v>
      </c>
      <c r="I187" s="66">
        <v>90.71</v>
      </c>
      <c r="J187" s="66">
        <v>72.25</v>
      </c>
      <c r="K187" s="66">
        <v>101.2</v>
      </c>
      <c r="L187" s="66">
        <v>125.01</v>
      </c>
      <c r="M187" s="66">
        <v>59.63</v>
      </c>
      <c r="N187" s="66">
        <v>96.59</v>
      </c>
      <c r="O187" s="66">
        <v>105.82</v>
      </c>
      <c r="P187" s="65" t="s">
        <v>208</v>
      </c>
      <c r="Q187" s="66">
        <v>122.49</v>
      </c>
      <c r="R187" s="66">
        <v>118.37</v>
      </c>
      <c r="S187" s="66">
        <v>118.4</v>
      </c>
    </row>
    <row r="188" spans="1:19" x14ac:dyDescent="0.35">
      <c r="A188" s="76">
        <v>45835</v>
      </c>
      <c r="B188" s="65" t="s">
        <v>385</v>
      </c>
      <c r="C188" s="66">
        <v>81.19</v>
      </c>
      <c r="D188" s="66">
        <v>72.22</v>
      </c>
      <c r="E188" s="66">
        <v>83.36</v>
      </c>
      <c r="F188" s="66">
        <v>47.42</v>
      </c>
      <c r="G188" s="66">
        <v>54</v>
      </c>
      <c r="H188" s="66">
        <v>83.22</v>
      </c>
      <c r="I188" s="66">
        <v>83.15</v>
      </c>
      <c r="J188" s="66">
        <v>56.31</v>
      </c>
      <c r="K188" s="66">
        <v>89.46</v>
      </c>
      <c r="L188" s="66">
        <v>87.2</v>
      </c>
      <c r="M188" s="66">
        <v>30.66</v>
      </c>
      <c r="N188" s="66">
        <v>88.79</v>
      </c>
      <c r="O188" s="66">
        <v>90.82</v>
      </c>
      <c r="P188" s="65" t="s">
        <v>208</v>
      </c>
      <c r="Q188" s="66">
        <v>118.11</v>
      </c>
      <c r="R188" s="66">
        <v>107.58</v>
      </c>
      <c r="S188" s="66">
        <v>109.91</v>
      </c>
    </row>
    <row r="189" spans="1:19" x14ac:dyDescent="0.35">
      <c r="A189" s="76">
        <v>45836</v>
      </c>
      <c r="B189" s="65" t="s">
        <v>386</v>
      </c>
      <c r="C189" s="66">
        <v>52.51</v>
      </c>
      <c r="D189" s="66">
        <v>45.83</v>
      </c>
      <c r="E189" s="66">
        <v>50.42</v>
      </c>
      <c r="F189" s="66">
        <v>33.979999999999997</v>
      </c>
      <c r="G189" s="66">
        <v>33.67</v>
      </c>
      <c r="H189" s="66">
        <v>45.37</v>
      </c>
      <c r="I189" s="66">
        <v>51.54</v>
      </c>
      <c r="J189" s="66">
        <v>32.94</v>
      </c>
      <c r="K189" s="66">
        <v>56.12</v>
      </c>
      <c r="L189" s="66">
        <v>73.069999999999993</v>
      </c>
      <c r="M189" s="66">
        <v>2.63</v>
      </c>
      <c r="N189" s="66">
        <v>66.97</v>
      </c>
      <c r="O189" s="66">
        <v>57.37</v>
      </c>
      <c r="P189" s="65" t="s">
        <v>208</v>
      </c>
      <c r="Q189" s="66">
        <v>97.82</v>
      </c>
      <c r="R189" s="66">
        <v>63.36</v>
      </c>
      <c r="S189" s="66">
        <v>60.55</v>
      </c>
    </row>
    <row r="190" spans="1:19" x14ac:dyDescent="0.35">
      <c r="A190" s="76">
        <v>45837</v>
      </c>
      <c r="B190" s="65" t="s">
        <v>387</v>
      </c>
      <c r="C190" s="66">
        <v>54.12</v>
      </c>
      <c r="D190" s="66">
        <v>44.14</v>
      </c>
      <c r="E190" s="66">
        <v>53.88</v>
      </c>
      <c r="F190" s="66">
        <v>38.5</v>
      </c>
      <c r="G190" s="66">
        <v>20.59</v>
      </c>
      <c r="H190" s="66">
        <v>57.85</v>
      </c>
      <c r="I190" s="66">
        <v>54.36</v>
      </c>
      <c r="J190" s="66">
        <v>38.020000000000003</v>
      </c>
      <c r="K190" s="66">
        <v>57.28</v>
      </c>
      <c r="L190" s="66">
        <v>54.73</v>
      </c>
      <c r="M190" s="66">
        <v>-2.74</v>
      </c>
      <c r="N190" s="66">
        <v>55.27</v>
      </c>
      <c r="O190" s="66">
        <v>57.83</v>
      </c>
      <c r="P190" s="65" t="s">
        <v>208</v>
      </c>
      <c r="Q190" s="66">
        <v>80.06</v>
      </c>
      <c r="R190" s="66">
        <v>58.3</v>
      </c>
      <c r="S190" s="66">
        <v>58.81</v>
      </c>
    </row>
    <row r="191" spans="1:19" x14ac:dyDescent="0.35">
      <c r="A191" s="76">
        <v>45838</v>
      </c>
      <c r="B191" s="65" t="s">
        <v>388</v>
      </c>
      <c r="C191" s="66">
        <v>102.42</v>
      </c>
      <c r="D191" s="66">
        <v>90.82</v>
      </c>
      <c r="E191" s="66">
        <v>105.34</v>
      </c>
      <c r="F191" s="66">
        <v>99.57</v>
      </c>
      <c r="G191" s="66">
        <v>97.71</v>
      </c>
      <c r="H191" s="66">
        <v>100.12</v>
      </c>
      <c r="I191" s="66">
        <v>100.97</v>
      </c>
      <c r="J191" s="66">
        <v>64.55</v>
      </c>
      <c r="K191" s="66">
        <v>97.06</v>
      </c>
      <c r="L191" s="66">
        <v>94.21</v>
      </c>
      <c r="M191" s="66">
        <v>35.03</v>
      </c>
      <c r="N191" s="66">
        <v>99.58</v>
      </c>
      <c r="O191" s="66">
        <v>104.86</v>
      </c>
      <c r="P191" s="65" t="s">
        <v>208</v>
      </c>
      <c r="Q191" s="66">
        <v>122.3</v>
      </c>
      <c r="R191" s="66">
        <v>115.33</v>
      </c>
      <c r="S191" s="66">
        <v>109.8</v>
      </c>
    </row>
    <row r="192" spans="1:19" x14ac:dyDescent="0.35">
      <c r="A192" s="76">
        <v>45839</v>
      </c>
      <c r="B192" s="65" t="s">
        <v>389</v>
      </c>
      <c r="C192" s="66">
        <v>138.36000000000001</v>
      </c>
      <c r="D192" s="66">
        <v>120.06</v>
      </c>
      <c r="E192" s="66">
        <v>151.71</v>
      </c>
      <c r="F192" s="66">
        <v>138.28</v>
      </c>
      <c r="G192" s="66">
        <v>138.28</v>
      </c>
      <c r="H192" s="66">
        <v>117.62</v>
      </c>
      <c r="I192" s="66">
        <v>144.86000000000001</v>
      </c>
      <c r="J192" s="66">
        <v>67.599999999999994</v>
      </c>
      <c r="K192" s="66">
        <v>131.08000000000001</v>
      </c>
      <c r="L192" s="66">
        <v>128.72999999999999</v>
      </c>
      <c r="M192" s="66">
        <v>51.76</v>
      </c>
      <c r="N192" s="66">
        <v>113.61</v>
      </c>
      <c r="O192" s="66">
        <v>137.19</v>
      </c>
      <c r="P192" s="65" t="s">
        <v>208</v>
      </c>
      <c r="Q192" s="66">
        <v>133.04</v>
      </c>
      <c r="R192" s="66">
        <v>136.72999999999999</v>
      </c>
      <c r="S192" s="66">
        <v>134.22</v>
      </c>
    </row>
    <row r="193" spans="1:19" x14ac:dyDescent="0.35">
      <c r="A193" s="76">
        <v>45840</v>
      </c>
      <c r="B193" s="65" t="s">
        <v>390</v>
      </c>
      <c r="C193" s="66">
        <v>103.89</v>
      </c>
      <c r="D193" s="66">
        <v>98.64</v>
      </c>
      <c r="E193" s="66">
        <v>120.69</v>
      </c>
      <c r="F193" s="66">
        <v>103.88</v>
      </c>
      <c r="G193" s="66">
        <v>103.88</v>
      </c>
      <c r="H193" s="66">
        <v>93.85</v>
      </c>
      <c r="I193" s="66">
        <v>111.77</v>
      </c>
      <c r="J193" s="66">
        <v>64.64</v>
      </c>
      <c r="K193" s="66">
        <v>99.31</v>
      </c>
      <c r="L193" s="66">
        <v>114.56</v>
      </c>
      <c r="M193" s="66">
        <v>54.45</v>
      </c>
      <c r="N193" s="66">
        <v>105.32</v>
      </c>
      <c r="O193" s="66">
        <v>112.68</v>
      </c>
      <c r="P193" s="65" t="s">
        <v>208</v>
      </c>
      <c r="Q193" s="66">
        <v>125.29</v>
      </c>
      <c r="R193" s="66">
        <v>132.02000000000001</v>
      </c>
      <c r="S193" s="66">
        <v>124.39</v>
      </c>
    </row>
    <row r="194" spans="1:19" x14ac:dyDescent="0.35">
      <c r="A194" s="76">
        <v>45841</v>
      </c>
      <c r="B194" s="65" t="s">
        <v>391</v>
      </c>
      <c r="C194" s="66">
        <v>86.47</v>
      </c>
      <c r="D194" s="66">
        <v>73.47</v>
      </c>
      <c r="E194" s="66">
        <v>89.6</v>
      </c>
      <c r="F194" s="66">
        <v>39.299999999999997</v>
      </c>
      <c r="G194" s="66">
        <v>44.04</v>
      </c>
      <c r="H194" s="66">
        <v>81.489999999999995</v>
      </c>
      <c r="I194" s="66">
        <v>86.98</v>
      </c>
      <c r="J194" s="66">
        <v>55.97</v>
      </c>
      <c r="K194" s="66">
        <v>93.19</v>
      </c>
      <c r="L194" s="66">
        <v>98.22</v>
      </c>
      <c r="M194" s="66">
        <v>17.66</v>
      </c>
      <c r="N194" s="66">
        <v>103.57</v>
      </c>
      <c r="O194" s="66">
        <v>98.13</v>
      </c>
      <c r="P194" s="65" t="s">
        <v>208</v>
      </c>
      <c r="Q194" s="66">
        <v>121.07</v>
      </c>
      <c r="R194" s="66">
        <v>110.61</v>
      </c>
      <c r="S194" s="66">
        <v>105.54</v>
      </c>
    </row>
    <row r="195" spans="1:19" x14ac:dyDescent="0.35">
      <c r="A195" s="76">
        <v>45842</v>
      </c>
      <c r="B195" s="65" t="s">
        <v>392</v>
      </c>
      <c r="C195" s="66">
        <v>79.62</v>
      </c>
      <c r="D195" s="66">
        <v>71.92</v>
      </c>
      <c r="E195" s="66">
        <v>75.64</v>
      </c>
      <c r="F195" s="66">
        <v>68.099999999999994</v>
      </c>
      <c r="G195" s="66">
        <v>68.13</v>
      </c>
      <c r="H195" s="66">
        <v>72.52</v>
      </c>
      <c r="I195" s="66">
        <v>76.7</v>
      </c>
      <c r="J195" s="66">
        <v>56.62</v>
      </c>
      <c r="K195" s="66">
        <v>97.27</v>
      </c>
      <c r="L195" s="66">
        <v>100.29</v>
      </c>
      <c r="M195" s="66">
        <v>24.78</v>
      </c>
      <c r="N195" s="66">
        <v>101.46</v>
      </c>
      <c r="O195" s="66">
        <v>49.58</v>
      </c>
      <c r="P195" s="65" t="s">
        <v>208</v>
      </c>
      <c r="Q195" s="66">
        <v>125.96</v>
      </c>
      <c r="R195" s="66">
        <v>118.93</v>
      </c>
      <c r="S195" s="66">
        <v>105.75</v>
      </c>
    </row>
    <row r="196" spans="1:19" x14ac:dyDescent="0.35">
      <c r="A196" s="76">
        <v>45843</v>
      </c>
      <c r="B196" s="65" t="s">
        <v>393</v>
      </c>
      <c r="C196" s="66">
        <v>53.86</v>
      </c>
      <c r="D196" s="66">
        <v>47.61</v>
      </c>
      <c r="E196" s="66">
        <v>40.630000000000003</v>
      </c>
      <c r="F196" s="66">
        <v>29.47</v>
      </c>
      <c r="G196" s="66">
        <v>43.63</v>
      </c>
      <c r="H196" s="66">
        <v>31.27</v>
      </c>
      <c r="I196" s="66">
        <v>51.77</v>
      </c>
      <c r="J196" s="66">
        <v>33.200000000000003</v>
      </c>
      <c r="K196" s="66">
        <v>59.28</v>
      </c>
      <c r="L196" s="66">
        <v>81.27</v>
      </c>
      <c r="M196" s="66">
        <v>11.66</v>
      </c>
      <c r="N196" s="66">
        <v>77.03</v>
      </c>
      <c r="O196" s="66">
        <v>64.47</v>
      </c>
      <c r="P196" s="65" t="s">
        <v>208</v>
      </c>
      <c r="Q196" s="66">
        <v>120.9</v>
      </c>
      <c r="R196" s="66">
        <v>85.41</v>
      </c>
      <c r="S196" s="66">
        <v>78.56</v>
      </c>
    </row>
    <row r="197" spans="1:19" x14ac:dyDescent="0.35">
      <c r="A197" s="76">
        <v>45844</v>
      </c>
      <c r="B197" s="65" t="s">
        <v>394</v>
      </c>
      <c r="C197" s="66">
        <v>73.489999999999995</v>
      </c>
      <c r="D197" s="66">
        <v>66.959999999999994</v>
      </c>
      <c r="E197" s="66">
        <v>74.59</v>
      </c>
      <c r="F197" s="66">
        <v>70.66</v>
      </c>
      <c r="G197" s="66">
        <v>70.66</v>
      </c>
      <c r="H197" s="66">
        <v>31.59</v>
      </c>
      <c r="I197" s="66">
        <v>80.319999999999993</v>
      </c>
      <c r="J197" s="66">
        <v>61.39</v>
      </c>
      <c r="K197" s="66">
        <v>74.28</v>
      </c>
      <c r="L197" s="66">
        <v>81.7</v>
      </c>
      <c r="M197" s="66">
        <v>22.91</v>
      </c>
      <c r="N197" s="66">
        <v>88.91</v>
      </c>
      <c r="O197" s="66">
        <v>79.540000000000006</v>
      </c>
      <c r="P197" s="65" t="s">
        <v>208</v>
      </c>
      <c r="Q197" s="66">
        <v>107.45</v>
      </c>
      <c r="R197" s="66">
        <v>83.77</v>
      </c>
      <c r="S197" s="66">
        <v>83.61</v>
      </c>
    </row>
    <row r="198" spans="1:19" x14ac:dyDescent="0.35">
      <c r="A198" s="76">
        <v>45845</v>
      </c>
      <c r="B198" s="65" t="s">
        <v>395</v>
      </c>
      <c r="C198" s="66">
        <v>99.97</v>
      </c>
      <c r="D198" s="66">
        <v>90.85</v>
      </c>
      <c r="E198" s="66">
        <v>77.83</v>
      </c>
      <c r="F198" s="66">
        <v>95.38</v>
      </c>
      <c r="G198" s="66">
        <v>98.74</v>
      </c>
      <c r="H198" s="66">
        <v>36.78</v>
      </c>
      <c r="I198" s="66">
        <v>91.68</v>
      </c>
      <c r="J198" s="66">
        <v>67.06</v>
      </c>
      <c r="K198" s="66">
        <v>109.45</v>
      </c>
      <c r="L198" s="66">
        <v>133.41999999999999</v>
      </c>
      <c r="M198" s="66">
        <v>74.19</v>
      </c>
      <c r="N198" s="66">
        <v>100.34</v>
      </c>
      <c r="O198" s="66">
        <v>114.45</v>
      </c>
      <c r="P198" s="65" t="s">
        <v>208</v>
      </c>
      <c r="Q198" s="66">
        <v>118.41</v>
      </c>
      <c r="R198" s="66">
        <v>113.59</v>
      </c>
      <c r="S198" s="66">
        <v>123.1</v>
      </c>
    </row>
    <row r="199" spans="1:19" x14ac:dyDescent="0.35">
      <c r="A199" s="76">
        <v>45846</v>
      </c>
      <c r="B199" s="65" t="s">
        <v>396</v>
      </c>
      <c r="C199" s="66">
        <v>90.01</v>
      </c>
      <c r="D199" s="66">
        <v>83.15</v>
      </c>
      <c r="E199" s="66">
        <v>84.55</v>
      </c>
      <c r="F199" s="66">
        <v>89.82</v>
      </c>
      <c r="G199" s="66">
        <v>89.82</v>
      </c>
      <c r="H199" s="66">
        <v>37.5</v>
      </c>
      <c r="I199" s="66">
        <v>89.49</v>
      </c>
      <c r="J199" s="66">
        <v>67.959999999999994</v>
      </c>
      <c r="K199" s="66">
        <v>93.23</v>
      </c>
      <c r="L199" s="66">
        <v>110.26</v>
      </c>
      <c r="M199" s="66">
        <v>53.86</v>
      </c>
      <c r="N199" s="66">
        <v>101.42</v>
      </c>
      <c r="O199" s="66">
        <v>96.77</v>
      </c>
      <c r="P199" s="65" t="s">
        <v>208</v>
      </c>
      <c r="Q199" s="66">
        <v>112.96</v>
      </c>
      <c r="R199" s="66">
        <v>98.23</v>
      </c>
      <c r="S199" s="66">
        <v>107.23</v>
      </c>
    </row>
    <row r="200" spans="1:19" x14ac:dyDescent="0.35">
      <c r="A200" s="76">
        <v>45847</v>
      </c>
      <c r="B200" s="65" t="s">
        <v>397</v>
      </c>
      <c r="C200" s="66">
        <v>91.8</v>
      </c>
      <c r="D200" s="66">
        <v>87.07</v>
      </c>
      <c r="E200" s="66">
        <v>93.13</v>
      </c>
      <c r="F200" s="66">
        <v>91.8</v>
      </c>
      <c r="G200" s="66">
        <v>91.81</v>
      </c>
      <c r="H200" s="66">
        <v>46.06</v>
      </c>
      <c r="I200" s="66">
        <v>94.98</v>
      </c>
      <c r="J200" s="66">
        <v>71.47</v>
      </c>
      <c r="K200" s="66">
        <v>87.24</v>
      </c>
      <c r="L200" s="66">
        <v>113.68</v>
      </c>
      <c r="M200" s="66">
        <v>82.49</v>
      </c>
      <c r="N200" s="66">
        <v>93.79</v>
      </c>
      <c r="O200" s="66">
        <v>91.33</v>
      </c>
      <c r="P200" s="65" t="s">
        <v>208</v>
      </c>
      <c r="Q200" s="66">
        <v>105.12</v>
      </c>
      <c r="R200" s="66">
        <v>88.72</v>
      </c>
      <c r="S200" s="66">
        <v>93.33</v>
      </c>
    </row>
    <row r="201" spans="1:19" x14ac:dyDescent="0.35">
      <c r="A201" s="76">
        <v>45848</v>
      </c>
      <c r="B201" s="65" t="s">
        <v>398</v>
      </c>
      <c r="C201" s="66">
        <v>90.41</v>
      </c>
      <c r="D201" s="66">
        <v>84.32</v>
      </c>
      <c r="E201" s="66">
        <v>90.64</v>
      </c>
      <c r="F201" s="66">
        <v>90.41</v>
      </c>
      <c r="G201" s="66">
        <v>90.44</v>
      </c>
      <c r="H201" s="66">
        <v>67.62</v>
      </c>
      <c r="I201" s="66">
        <v>91.72</v>
      </c>
      <c r="J201" s="66">
        <v>68.569999999999993</v>
      </c>
      <c r="K201" s="66">
        <v>88.8</v>
      </c>
      <c r="L201" s="66">
        <v>92.11</v>
      </c>
      <c r="M201" s="66">
        <v>66.260000000000005</v>
      </c>
      <c r="N201" s="66">
        <v>90.95</v>
      </c>
      <c r="O201" s="66">
        <v>90</v>
      </c>
      <c r="P201" s="65" t="s">
        <v>208</v>
      </c>
      <c r="Q201" s="66">
        <v>108.11</v>
      </c>
      <c r="R201" s="66">
        <v>89.4</v>
      </c>
      <c r="S201" s="66">
        <v>91.97</v>
      </c>
    </row>
    <row r="202" spans="1:19" x14ac:dyDescent="0.35">
      <c r="A202" s="76">
        <v>45849</v>
      </c>
      <c r="B202" s="65" t="s">
        <v>399</v>
      </c>
      <c r="C202" s="66">
        <v>87.88</v>
      </c>
      <c r="D202" s="66">
        <v>78.06</v>
      </c>
      <c r="E202" s="66">
        <v>92.01</v>
      </c>
      <c r="F202" s="66">
        <v>87.88</v>
      </c>
      <c r="G202" s="66">
        <v>80.03</v>
      </c>
      <c r="H202" s="66">
        <v>54.43</v>
      </c>
      <c r="I202" s="66">
        <v>92.54</v>
      </c>
      <c r="J202" s="66">
        <v>68.239999999999995</v>
      </c>
      <c r="K202" s="66">
        <v>85.65</v>
      </c>
      <c r="L202" s="66">
        <v>103.87</v>
      </c>
      <c r="M202" s="66">
        <v>11.17</v>
      </c>
      <c r="N202" s="66">
        <v>93.38</v>
      </c>
      <c r="O202" s="66">
        <v>89.41</v>
      </c>
      <c r="P202" s="65" t="s">
        <v>208</v>
      </c>
      <c r="Q202" s="66">
        <v>115.76</v>
      </c>
      <c r="R202" s="66">
        <v>98.64</v>
      </c>
      <c r="S202" s="66">
        <v>95.91</v>
      </c>
    </row>
    <row r="203" spans="1:19" x14ac:dyDescent="0.35">
      <c r="A203" s="76">
        <v>45850</v>
      </c>
      <c r="B203" s="65" t="s">
        <v>400</v>
      </c>
      <c r="C203" s="66">
        <v>72.260000000000005</v>
      </c>
      <c r="D203" s="66">
        <v>63.84</v>
      </c>
      <c r="E203" s="66">
        <v>70.64</v>
      </c>
      <c r="F203" s="66">
        <v>67.510000000000005</v>
      </c>
      <c r="G203" s="66">
        <v>47.75</v>
      </c>
      <c r="H203" s="66">
        <v>57.11</v>
      </c>
      <c r="I203" s="66">
        <v>73.62</v>
      </c>
      <c r="J203" s="66">
        <v>58.33</v>
      </c>
      <c r="K203" s="66">
        <v>70.930000000000007</v>
      </c>
      <c r="L203" s="66">
        <v>108.2</v>
      </c>
      <c r="M203" s="66">
        <v>7.48</v>
      </c>
      <c r="N203" s="66">
        <v>68.400000000000006</v>
      </c>
      <c r="O203" s="66">
        <v>72.239999999999995</v>
      </c>
      <c r="P203" s="65" t="s">
        <v>208</v>
      </c>
      <c r="Q203" s="66">
        <v>101.36</v>
      </c>
      <c r="R203" s="66">
        <v>73.19</v>
      </c>
      <c r="S203" s="66">
        <v>73.569999999999993</v>
      </c>
    </row>
    <row r="204" spans="1:19" x14ac:dyDescent="0.35">
      <c r="A204" s="76">
        <v>45851</v>
      </c>
      <c r="B204" s="65" t="s">
        <v>401</v>
      </c>
      <c r="C204" s="66">
        <v>73.489999999999995</v>
      </c>
      <c r="D204" s="66">
        <v>64.27</v>
      </c>
      <c r="E204" s="66">
        <v>72.650000000000006</v>
      </c>
      <c r="F204" s="66">
        <v>73.489999999999995</v>
      </c>
      <c r="G204" s="66">
        <v>52.63</v>
      </c>
      <c r="H204" s="66">
        <v>50.24</v>
      </c>
      <c r="I204" s="66">
        <v>75.98</v>
      </c>
      <c r="J204" s="66">
        <v>64.959999999999994</v>
      </c>
      <c r="K204" s="66">
        <v>68.61</v>
      </c>
      <c r="L204" s="66">
        <v>79.33</v>
      </c>
      <c r="M204" s="66">
        <v>22</v>
      </c>
      <c r="N204" s="66">
        <v>74.790000000000006</v>
      </c>
      <c r="O204" s="66">
        <v>72.27</v>
      </c>
      <c r="P204" s="65" t="s">
        <v>208</v>
      </c>
      <c r="Q204" s="66">
        <v>106.58</v>
      </c>
      <c r="R204" s="66">
        <v>70.12</v>
      </c>
      <c r="S204" s="66">
        <v>71.06</v>
      </c>
    </row>
    <row r="205" spans="1:19" x14ac:dyDescent="0.35">
      <c r="A205" s="76">
        <v>45852</v>
      </c>
      <c r="B205" s="65" t="s">
        <v>402</v>
      </c>
      <c r="C205" s="66">
        <v>98.47</v>
      </c>
      <c r="D205" s="66">
        <v>88.59</v>
      </c>
      <c r="E205" s="66">
        <v>86.14</v>
      </c>
      <c r="F205" s="66">
        <v>98.39</v>
      </c>
      <c r="G205" s="66">
        <v>98.38</v>
      </c>
      <c r="H205" s="66">
        <v>53.21</v>
      </c>
      <c r="I205" s="66">
        <v>96.7</v>
      </c>
      <c r="J205" s="66">
        <v>77.8</v>
      </c>
      <c r="K205" s="66">
        <v>98.77</v>
      </c>
      <c r="L205" s="66">
        <v>119.17</v>
      </c>
      <c r="M205" s="66">
        <v>38.75</v>
      </c>
      <c r="N205" s="66">
        <v>102.64</v>
      </c>
      <c r="O205" s="66">
        <v>104.56</v>
      </c>
      <c r="P205" s="65" t="s">
        <v>208</v>
      </c>
      <c r="Q205" s="66">
        <v>119.11</v>
      </c>
      <c r="R205" s="66">
        <v>110.71</v>
      </c>
      <c r="S205" s="66">
        <v>109.68</v>
      </c>
    </row>
    <row r="206" spans="1:19" x14ac:dyDescent="0.35">
      <c r="A206" s="76">
        <v>45853</v>
      </c>
      <c r="B206" s="65" t="s">
        <v>403</v>
      </c>
      <c r="C206" s="66">
        <v>90.82</v>
      </c>
      <c r="D206" s="66">
        <v>83.21</v>
      </c>
      <c r="E206" s="66">
        <v>68.31</v>
      </c>
      <c r="F206" s="66">
        <v>90.82</v>
      </c>
      <c r="G206" s="66">
        <v>90.82</v>
      </c>
      <c r="H206" s="66">
        <v>58.2</v>
      </c>
      <c r="I206" s="66">
        <v>81.44</v>
      </c>
      <c r="J206" s="66">
        <v>73.489999999999995</v>
      </c>
      <c r="K206" s="66">
        <v>94.44</v>
      </c>
      <c r="L206" s="66">
        <v>108.13</v>
      </c>
      <c r="M206" s="66">
        <v>54.15</v>
      </c>
      <c r="N206" s="66">
        <v>98.82</v>
      </c>
      <c r="O206" s="66">
        <v>96.68</v>
      </c>
      <c r="P206" s="65" t="s">
        <v>208</v>
      </c>
      <c r="Q206" s="66">
        <v>122.57</v>
      </c>
      <c r="R206" s="66">
        <v>100.52</v>
      </c>
      <c r="S206" s="66">
        <v>100.49</v>
      </c>
    </row>
    <row r="207" spans="1:19" x14ac:dyDescent="0.35">
      <c r="A207" s="76">
        <v>45854</v>
      </c>
      <c r="B207" s="65" t="s">
        <v>404</v>
      </c>
      <c r="C207" s="66">
        <v>95.75</v>
      </c>
      <c r="D207" s="66">
        <v>87.21</v>
      </c>
      <c r="E207" s="66">
        <v>79.959999999999994</v>
      </c>
      <c r="F207" s="66">
        <v>95.75</v>
      </c>
      <c r="G207" s="66">
        <v>95.58</v>
      </c>
      <c r="H207" s="66">
        <v>64.709999999999994</v>
      </c>
      <c r="I207" s="66">
        <v>92.7</v>
      </c>
      <c r="J207" s="66">
        <v>78.59</v>
      </c>
      <c r="K207" s="66">
        <v>96.73</v>
      </c>
      <c r="L207" s="66">
        <v>102.6</v>
      </c>
      <c r="M207" s="66">
        <v>55.15</v>
      </c>
      <c r="N207" s="66">
        <v>98.13</v>
      </c>
      <c r="O207" s="66">
        <v>99.43</v>
      </c>
      <c r="P207" s="65" t="s">
        <v>208</v>
      </c>
      <c r="Q207" s="66">
        <v>117.06</v>
      </c>
      <c r="R207" s="66">
        <v>106.1</v>
      </c>
      <c r="S207" s="66">
        <v>107.58</v>
      </c>
    </row>
    <row r="208" spans="1:19" x14ac:dyDescent="0.35">
      <c r="A208" s="76">
        <v>45855</v>
      </c>
      <c r="B208" s="65" t="s">
        <v>405</v>
      </c>
      <c r="C208" s="66">
        <v>92.61</v>
      </c>
      <c r="D208" s="66">
        <v>88.57</v>
      </c>
      <c r="E208" s="66">
        <v>92.73</v>
      </c>
      <c r="F208" s="66">
        <v>92.13</v>
      </c>
      <c r="G208" s="66">
        <v>92.12</v>
      </c>
      <c r="H208" s="66">
        <v>91.23</v>
      </c>
      <c r="I208" s="66">
        <v>92.97</v>
      </c>
      <c r="J208" s="66">
        <v>76.63</v>
      </c>
      <c r="K208" s="66">
        <v>94.58</v>
      </c>
      <c r="L208" s="66">
        <v>118.93</v>
      </c>
      <c r="M208" s="66">
        <v>29.98</v>
      </c>
      <c r="N208" s="66">
        <v>94.68</v>
      </c>
      <c r="O208" s="66">
        <v>98.3</v>
      </c>
      <c r="P208" s="65" t="s">
        <v>208</v>
      </c>
      <c r="Q208" s="66">
        <v>116.71</v>
      </c>
      <c r="R208" s="66">
        <v>102.03</v>
      </c>
      <c r="S208" s="66">
        <v>101.7</v>
      </c>
    </row>
    <row r="209" spans="1:19" x14ac:dyDescent="0.35">
      <c r="A209" s="76">
        <v>45856</v>
      </c>
      <c r="B209" s="65" t="s">
        <v>406</v>
      </c>
      <c r="C209" s="66">
        <v>100.93</v>
      </c>
      <c r="D209" s="66">
        <v>94.02</v>
      </c>
      <c r="E209" s="66">
        <v>98.63</v>
      </c>
      <c r="F209" s="66">
        <v>100.93</v>
      </c>
      <c r="G209" s="66">
        <v>100.93</v>
      </c>
      <c r="H209" s="66">
        <v>92.02</v>
      </c>
      <c r="I209" s="66">
        <v>100.83</v>
      </c>
      <c r="J209" s="66">
        <v>82.47</v>
      </c>
      <c r="K209" s="66">
        <v>98.68</v>
      </c>
      <c r="L209" s="66">
        <v>106.74</v>
      </c>
      <c r="M209" s="66">
        <v>51.82</v>
      </c>
      <c r="N209" s="66">
        <v>99.96</v>
      </c>
      <c r="O209" s="66">
        <v>101.21</v>
      </c>
      <c r="P209" s="65" t="s">
        <v>208</v>
      </c>
      <c r="Q209" s="66">
        <v>119.07</v>
      </c>
      <c r="R209" s="66">
        <v>106.42</v>
      </c>
      <c r="S209" s="66">
        <v>107.83</v>
      </c>
    </row>
    <row r="210" spans="1:19" x14ac:dyDescent="0.35">
      <c r="A210" s="76">
        <v>45857</v>
      </c>
      <c r="B210" s="65" t="s">
        <v>407</v>
      </c>
      <c r="C210" s="66">
        <v>70.14</v>
      </c>
      <c r="D210" s="66">
        <v>65.709999999999994</v>
      </c>
      <c r="E210" s="66">
        <v>67.53</v>
      </c>
      <c r="F210" s="66">
        <v>70.14</v>
      </c>
      <c r="G210" s="66">
        <v>70.62</v>
      </c>
      <c r="H210" s="66">
        <v>46.25</v>
      </c>
      <c r="I210" s="66">
        <v>71.540000000000006</v>
      </c>
      <c r="J210" s="66">
        <v>64.72</v>
      </c>
      <c r="K210" s="66">
        <v>66.63</v>
      </c>
      <c r="L210" s="66">
        <v>89.24</v>
      </c>
      <c r="M210" s="66">
        <v>29.94</v>
      </c>
      <c r="N210" s="66">
        <v>74.86</v>
      </c>
      <c r="O210" s="66">
        <v>71.349999999999994</v>
      </c>
      <c r="P210" s="65" t="s">
        <v>208</v>
      </c>
      <c r="Q210" s="66">
        <v>116.96</v>
      </c>
      <c r="R210" s="66">
        <v>84.83</v>
      </c>
      <c r="S210" s="66">
        <v>83.72</v>
      </c>
    </row>
    <row r="211" spans="1:19" x14ac:dyDescent="0.35">
      <c r="A211" s="76">
        <v>45858</v>
      </c>
      <c r="B211" s="65" t="s">
        <v>408</v>
      </c>
      <c r="C211" s="66">
        <v>71.48</v>
      </c>
      <c r="D211" s="66">
        <v>63.35</v>
      </c>
      <c r="E211" s="66">
        <v>73.739999999999995</v>
      </c>
      <c r="F211" s="66">
        <v>70.98</v>
      </c>
      <c r="G211" s="66">
        <v>71.53</v>
      </c>
      <c r="H211" s="66">
        <v>20.58</v>
      </c>
      <c r="I211" s="66">
        <v>74.16</v>
      </c>
      <c r="J211" s="66">
        <v>64</v>
      </c>
      <c r="K211" s="66">
        <v>66.739999999999995</v>
      </c>
      <c r="L211" s="66">
        <v>79.930000000000007</v>
      </c>
      <c r="M211" s="66">
        <v>37.68</v>
      </c>
      <c r="N211" s="66">
        <v>65.010000000000005</v>
      </c>
      <c r="O211" s="66">
        <v>72.540000000000006</v>
      </c>
      <c r="P211" s="65" t="s">
        <v>208</v>
      </c>
      <c r="Q211" s="66">
        <v>112.77</v>
      </c>
      <c r="R211" s="66">
        <v>80.84</v>
      </c>
      <c r="S211" s="66">
        <v>77</v>
      </c>
    </row>
    <row r="212" spans="1:19" x14ac:dyDescent="0.35">
      <c r="A212" s="76">
        <v>45859</v>
      </c>
      <c r="B212" s="65" t="s">
        <v>409</v>
      </c>
      <c r="C212" s="66">
        <v>100.23</v>
      </c>
      <c r="D212" s="66">
        <v>81.14</v>
      </c>
      <c r="E212" s="66">
        <v>70.36</v>
      </c>
      <c r="F212" s="66">
        <v>97.3</v>
      </c>
      <c r="G212" s="66">
        <v>89.3</v>
      </c>
      <c r="H212" s="66">
        <v>24.34</v>
      </c>
      <c r="I212" s="66">
        <v>93.79</v>
      </c>
      <c r="J212" s="66">
        <v>80.06</v>
      </c>
      <c r="K212" s="66">
        <v>88.74</v>
      </c>
      <c r="L212" s="66">
        <v>108.72</v>
      </c>
      <c r="M212" s="66">
        <v>39</v>
      </c>
      <c r="N212" s="66">
        <v>100.82</v>
      </c>
      <c r="O212" s="66">
        <v>100.17</v>
      </c>
      <c r="P212" s="65" t="s">
        <v>208</v>
      </c>
      <c r="Q212" s="66">
        <v>119.73</v>
      </c>
      <c r="R212" s="66">
        <v>112.73</v>
      </c>
      <c r="S212" s="66">
        <v>109.77</v>
      </c>
    </row>
    <row r="213" spans="1:19" x14ac:dyDescent="0.35">
      <c r="A213" s="76">
        <v>45860</v>
      </c>
      <c r="B213" s="65" t="s">
        <v>410</v>
      </c>
      <c r="C213" s="66">
        <v>78.38</v>
      </c>
      <c r="D213" s="66">
        <v>73.91</v>
      </c>
      <c r="E213" s="66">
        <v>73.12</v>
      </c>
      <c r="F213" s="66">
        <v>78.84</v>
      </c>
      <c r="G213" s="66">
        <v>78.790000000000006</v>
      </c>
      <c r="H213" s="66">
        <v>59.12</v>
      </c>
      <c r="I213" s="66">
        <v>77.790000000000006</v>
      </c>
      <c r="J213" s="66">
        <v>72.819999999999993</v>
      </c>
      <c r="K213" s="66">
        <v>79.14</v>
      </c>
      <c r="L213" s="66">
        <v>91.54</v>
      </c>
      <c r="M213" s="66">
        <v>22.95</v>
      </c>
      <c r="N213" s="66">
        <v>93.92</v>
      </c>
      <c r="O213" s="66">
        <v>85.03</v>
      </c>
      <c r="P213" s="65" t="s">
        <v>208</v>
      </c>
      <c r="Q213" s="66">
        <v>112.83</v>
      </c>
      <c r="R213" s="66">
        <v>114.67</v>
      </c>
      <c r="S213" s="66">
        <v>104.4</v>
      </c>
    </row>
    <row r="214" spans="1:19" x14ac:dyDescent="0.35">
      <c r="A214" s="76">
        <v>45861</v>
      </c>
      <c r="B214" s="65" t="s">
        <v>411</v>
      </c>
      <c r="C214" s="66">
        <v>78.25</v>
      </c>
      <c r="D214" s="66">
        <v>79.94</v>
      </c>
      <c r="E214" s="66">
        <v>83.89</v>
      </c>
      <c r="F214" s="66">
        <v>75.989999999999995</v>
      </c>
      <c r="G214" s="66">
        <v>59.24</v>
      </c>
      <c r="H214" s="66">
        <v>83.37</v>
      </c>
      <c r="I214" s="66">
        <v>85.29</v>
      </c>
      <c r="J214" s="66">
        <v>75.260000000000005</v>
      </c>
      <c r="K214" s="66">
        <v>90.12</v>
      </c>
      <c r="L214" s="66">
        <v>92.62</v>
      </c>
      <c r="M214" s="66">
        <v>45.95</v>
      </c>
      <c r="N214" s="66">
        <v>92.11</v>
      </c>
      <c r="O214" s="66">
        <v>95.48</v>
      </c>
      <c r="P214" s="65" t="s">
        <v>208</v>
      </c>
      <c r="Q214" s="66">
        <v>117.01</v>
      </c>
      <c r="R214" s="66">
        <v>149.37</v>
      </c>
      <c r="S214" s="66">
        <v>129.12</v>
      </c>
    </row>
    <row r="215" spans="1:19" x14ac:dyDescent="0.35">
      <c r="A215" s="76">
        <v>45862</v>
      </c>
      <c r="B215" s="65" t="s">
        <v>412</v>
      </c>
      <c r="C215" s="66">
        <v>102.55</v>
      </c>
      <c r="D215" s="66">
        <v>94.43</v>
      </c>
      <c r="E215" s="66">
        <v>91.07</v>
      </c>
      <c r="F215" s="66">
        <v>100.56</v>
      </c>
      <c r="G215" s="66">
        <v>102.55</v>
      </c>
      <c r="H215" s="66">
        <v>74.3</v>
      </c>
      <c r="I215" s="66">
        <v>96.76</v>
      </c>
      <c r="J215" s="66">
        <v>84.48</v>
      </c>
      <c r="K215" s="66">
        <v>100.08</v>
      </c>
      <c r="L215" s="66">
        <v>111.06</v>
      </c>
      <c r="M215" s="66">
        <v>77.52</v>
      </c>
      <c r="N215" s="66">
        <v>100.7</v>
      </c>
      <c r="O215" s="66">
        <v>99.63</v>
      </c>
      <c r="P215" s="65" t="s">
        <v>208</v>
      </c>
      <c r="Q215" s="66">
        <v>112.82</v>
      </c>
      <c r="R215" s="66">
        <v>123.95</v>
      </c>
      <c r="S215" s="66">
        <v>134.81</v>
      </c>
    </row>
    <row r="216" spans="1:19" x14ac:dyDescent="0.35">
      <c r="A216" s="76">
        <v>45863</v>
      </c>
      <c r="B216" s="65" t="s">
        <v>413</v>
      </c>
      <c r="C216" s="66">
        <v>97.43</v>
      </c>
      <c r="D216" s="66">
        <v>90.3</v>
      </c>
      <c r="E216" s="66">
        <v>90.68</v>
      </c>
      <c r="F216" s="66">
        <v>95.75</v>
      </c>
      <c r="G216" s="66">
        <v>97.05</v>
      </c>
      <c r="H216" s="66">
        <v>71.08</v>
      </c>
      <c r="I216" s="66">
        <v>95.27</v>
      </c>
      <c r="J216" s="66">
        <v>83.94</v>
      </c>
      <c r="K216" s="66">
        <v>95.81</v>
      </c>
      <c r="L216" s="66">
        <v>116.9</v>
      </c>
      <c r="M216" s="66">
        <v>45.97</v>
      </c>
      <c r="N216" s="66">
        <v>96.06</v>
      </c>
      <c r="O216" s="66">
        <v>104.81</v>
      </c>
      <c r="P216" s="65" t="s">
        <v>208</v>
      </c>
      <c r="Q216" s="66">
        <v>113.54</v>
      </c>
      <c r="R216" s="66">
        <v>167.25</v>
      </c>
      <c r="S216" s="66">
        <v>136.09</v>
      </c>
    </row>
    <row r="217" spans="1:19" x14ac:dyDescent="0.35">
      <c r="A217" s="76">
        <v>45864</v>
      </c>
      <c r="B217" s="65" t="s">
        <v>414</v>
      </c>
      <c r="C217" s="66">
        <v>91.16</v>
      </c>
      <c r="D217" s="66">
        <v>80.69</v>
      </c>
      <c r="E217" s="66">
        <v>81.59</v>
      </c>
      <c r="F217" s="66">
        <v>88.63</v>
      </c>
      <c r="G217" s="66">
        <v>88.63</v>
      </c>
      <c r="H217" s="66">
        <v>46.23</v>
      </c>
      <c r="I217" s="66">
        <v>87.04</v>
      </c>
      <c r="J217" s="66">
        <v>78.959999999999994</v>
      </c>
      <c r="K217" s="66">
        <v>91.6</v>
      </c>
      <c r="L217" s="66">
        <v>104.26</v>
      </c>
      <c r="M217" s="66">
        <v>41.29</v>
      </c>
      <c r="N217" s="66">
        <v>87.7</v>
      </c>
      <c r="O217" s="66">
        <v>91.7</v>
      </c>
      <c r="P217" s="65" t="s">
        <v>208</v>
      </c>
      <c r="Q217" s="66">
        <v>102.42</v>
      </c>
      <c r="R217" s="66">
        <v>107.41</v>
      </c>
      <c r="S217" s="66">
        <v>113.63</v>
      </c>
    </row>
    <row r="218" spans="1:19" x14ac:dyDescent="0.35">
      <c r="A218" s="76">
        <v>45865</v>
      </c>
      <c r="B218" s="65" t="s">
        <v>415</v>
      </c>
      <c r="C218" s="66">
        <v>79.430000000000007</v>
      </c>
      <c r="D218" s="66">
        <v>72.89</v>
      </c>
      <c r="E218" s="66">
        <v>71.92</v>
      </c>
      <c r="F218" s="66">
        <v>79.430000000000007</v>
      </c>
      <c r="G218" s="66">
        <v>79.430000000000007</v>
      </c>
      <c r="H218" s="66">
        <v>37.04</v>
      </c>
      <c r="I218" s="66">
        <v>79.88</v>
      </c>
      <c r="J218" s="66">
        <v>73.95</v>
      </c>
      <c r="K218" s="66">
        <v>70.55</v>
      </c>
      <c r="L218" s="66">
        <v>102.35</v>
      </c>
      <c r="M218" s="66">
        <v>53.54</v>
      </c>
      <c r="N218" s="66">
        <v>76.5</v>
      </c>
      <c r="O218" s="66">
        <v>77.23</v>
      </c>
      <c r="P218" s="65" t="s">
        <v>208</v>
      </c>
      <c r="Q218" s="66">
        <v>72.81</v>
      </c>
      <c r="R218" s="66">
        <v>78.62</v>
      </c>
      <c r="S218" s="66">
        <v>92.04</v>
      </c>
    </row>
    <row r="219" spans="1:19" x14ac:dyDescent="0.35">
      <c r="A219" s="76">
        <v>45866</v>
      </c>
      <c r="B219" s="65" t="s">
        <v>416</v>
      </c>
      <c r="C219" s="66">
        <v>94.08</v>
      </c>
      <c r="D219" s="66">
        <v>79.64</v>
      </c>
      <c r="E219" s="66">
        <v>80.64</v>
      </c>
      <c r="F219" s="66">
        <v>69.930000000000007</v>
      </c>
      <c r="G219" s="66">
        <v>80.05</v>
      </c>
      <c r="H219" s="66">
        <v>41.9</v>
      </c>
      <c r="I219" s="66">
        <v>88.21</v>
      </c>
      <c r="J219" s="66">
        <v>79.02</v>
      </c>
      <c r="K219" s="66">
        <v>93.29</v>
      </c>
      <c r="L219" s="66">
        <v>102.68</v>
      </c>
      <c r="M219" s="66">
        <v>59.01</v>
      </c>
      <c r="N219" s="66">
        <v>89.27</v>
      </c>
      <c r="O219" s="66">
        <v>92.03</v>
      </c>
      <c r="P219" s="65" t="s">
        <v>208</v>
      </c>
      <c r="Q219" s="66">
        <v>102.27</v>
      </c>
      <c r="R219" s="66">
        <v>98.91</v>
      </c>
      <c r="S219" s="66">
        <v>106.86</v>
      </c>
    </row>
    <row r="220" spans="1:19" x14ac:dyDescent="0.35">
      <c r="A220" s="76">
        <v>45867</v>
      </c>
      <c r="B220" s="65" t="s">
        <v>417</v>
      </c>
      <c r="C220" s="66">
        <v>76.95</v>
      </c>
      <c r="D220" s="66">
        <v>63.03</v>
      </c>
      <c r="E220" s="66">
        <v>74.27</v>
      </c>
      <c r="F220" s="66">
        <v>58.39</v>
      </c>
      <c r="G220" s="66">
        <v>40.369999999999997</v>
      </c>
      <c r="H220" s="66">
        <v>42.18</v>
      </c>
      <c r="I220" s="66">
        <v>76.48</v>
      </c>
      <c r="J220" s="66">
        <v>63.56</v>
      </c>
      <c r="K220" s="66">
        <v>80.819999999999993</v>
      </c>
      <c r="L220" s="66">
        <v>86.41</v>
      </c>
      <c r="M220" s="66">
        <v>13.02</v>
      </c>
      <c r="N220" s="66">
        <v>78.84</v>
      </c>
      <c r="O220" s="66">
        <v>79.010000000000005</v>
      </c>
      <c r="P220" s="65" t="s">
        <v>208</v>
      </c>
      <c r="Q220" s="66">
        <v>98.67</v>
      </c>
      <c r="R220" s="66">
        <v>91.84</v>
      </c>
      <c r="S220" s="66">
        <v>91.41</v>
      </c>
    </row>
    <row r="221" spans="1:19" x14ac:dyDescent="0.35">
      <c r="A221" s="76">
        <v>45868</v>
      </c>
      <c r="B221" s="65" t="s">
        <v>418</v>
      </c>
      <c r="C221" s="66">
        <v>75.95</v>
      </c>
      <c r="D221" s="66">
        <v>67.89</v>
      </c>
      <c r="E221" s="66">
        <v>72.28</v>
      </c>
      <c r="F221" s="66">
        <v>71.84</v>
      </c>
      <c r="G221" s="66">
        <v>50.97</v>
      </c>
      <c r="H221" s="66">
        <v>48.72</v>
      </c>
      <c r="I221" s="66">
        <v>74.680000000000007</v>
      </c>
      <c r="J221" s="66">
        <v>67.510000000000005</v>
      </c>
      <c r="K221" s="66">
        <v>75.42</v>
      </c>
      <c r="L221" s="66">
        <v>89.4</v>
      </c>
      <c r="M221" s="66">
        <v>38.630000000000003</v>
      </c>
      <c r="N221" s="66">
        <v>80.39</v>
      </c>
      <c r="O221" s="66">
        <v>76.95</v>
      </c>
      <c r="P221" s="65" t="s">
        <v>208</v>
      </c>
      <c r="Q221" s="66">
        <v>109.04</v>
      </c>
      <c r="R221" s="66">
        <v>89.68</v>
      </c>
      <c r="S221" s="66">
        <v>91.37</v>
      </c>
    </row>
    <row r="222" spans="1:19" x14ac:dyDescent="0.35">
      <c r="A222" s="76">
        <v>45869</v>
      </c>
      <c r="B222" s="65" t="s">
        <v>419</v>
      </c>
      <c r="C222" s="66">
        <v>85.52</v>
      </c>
      <c r="D222" s="66">
        <v>78.959999999999994</v>
      </c>
      <c r="E222" s="66">
        <v>84.01</v>
      </c>
      <c r="F222" s="66">
        <v>85.05</v>
      </c>
      <c r="G222" s="66">
        <v>72.56</v>
      </c>
      <c r="H222" s="66">
        <v>64.739999999999995</v>
      </c>
      <c r="I222" s="66">
        <v>85.49</v>
      </c>
      <c r="J222" s="66">
        <v>75.95</v>
      </c>
      <c r="K222" s="66">
        <v>84.79</v>
      </c>
      <c r="L222" s="66">
        <v>99.38</v>
      </c>
      <c r="M222" s="66">
        <v>48.86</v>
      </c>
      <c r="N222" s="66">
        <v>81.98</v>
      </c>
      <c r="O222" s="66">
        <v>85.78</v>
      </c>
      <c r="P222" s="65" t="s">
        <v>208</v>
      </c>
      <c r="Q222" s="66">
        <v>104.42</v>
      </c>
      <c r="R222" s="66">
        <v>91.75</v>
      </c>
      <c r="S222" s="66">
        <v>93.57</v>
      </c>
    </row>
    <row r="223" spans="1:19" x14ac:dyDescent="0.35">
      <c r="A223" s="76">
        <v>45870</v>
      </c>
      <c r="B223" s="65" t="s">
        <v>420</v>
      </c>
      <c r="C223" s="66">
        <v>93.19</v>
      </c>
      <c r="D223" s="66">
        <v>87.05</v>
      </c>
      <c r="E223" s="66">
        <v>84.25</v>
      </c>
      <c r="F223" s="66">
        <v>93.19</v>
      </c>
      <c r="G223" s="66">
        <v>93.19</v>
      </c>
      <c r="H223" s="66">
        <v>64.790000000000006</v>
      </c>
      <c r="I223" s="66">
        <v>90.77</v>
      </c>
      <c r="J223" s="66">
        <v>82.51</v>
      </c>
      <c r="K223" s="66">
        <v>88.13</v>
      </c>
      <c r="L223" s="66">
        <v>101.04</v>
      </c>
      <c r="M223" s="66">
        <v>79.59</v>
      </c>
      <c r="N223" s="66">
        <v>90.68</v>
      </c>
      <c r="O223" s="66">
        <v>89.43</v>
      </c>
      <c r="P223" s="65" t="s">
        <v>208</v>
      </c>
      <c r="Q223" s="66">
        <v>110.85</v>
      </c>
      <c r="R223" s="66">
        <v>93.67</v>
      </c>
      <c r="S223" s="66">
        <v>102.83</v>
      </c>
    </row>
    <row r="224" spans="1:19" x14ac:dyDescent="0.35">
      <c r="A224" s="76">
        <v>45871</v>
      </c>
      <c r="B224" s="65" t="s">
        <v>421</v>
      </c>
      <c r="C224" s="66">
        <v>67.150000000000006</v>
      </c>
      <c r="D224" s="66">
        <v>64.959999999999994</v>
      </c>
      <c r="E224" s="66">
        <v>59.26</v>
      </c>
      <c r="F224" s="66">
        <v>67.22</v>
      </c>
      <c r="G224" s="66">
        <v>67.58</v>
      </c>
      <c r="H224" s="66">
        <v>42.79</v>
      </c>
      <c r="I224" s="66">
        <v>65.709999999999994</v>
      </c>
      <c r="J224" s="66">
        <v>63.7</v>
      </c>
      <c r="K224" s="66">
        <v>65.239999999999995</v>
      </c>
      <c r="L224" s="66">
        <v>83.01</v>
      </c>
      <c r="M224" s="66">
        <v>62.92</v>
      </c>
      <c r="N224" s="66">
        <v>71</v>
      </c>
      <c r="O224" s="66">
        <v>66.12</v>
      </c>
      <c r="P224" s="65" t="s">
        <v>208</v>
      </c>
      <c r="Q224" s="66">
        <v>109.63</v>
      </c>
      <c r="R224" s="66">
        <v>67.3</v>
      </c>
      <c r="S224" s="66">
        <v>73.11</v>
      </c>
    </row>
    <row r="225" spans="1:19" x14ac:dyDescent="0.35">
      <c r="A225" s="76">
        <v>45872</v>
      </c>
      <c r="B225" s="65" t="s">
        <v>422</v>
      </c>
      <c r="C225" s="66">
        <v>42.25</v>
      </c>
      <c r="D225" s="66">
        <v>44.76</v>
      </c>
      <c r="E225" s="66">
        <v>40.31</v>
      </c>
      <c r="F225" s="66">
        <v>42.5</v>
      </c>
      <c r="G225" s="66">
        <v>41.61</v>
      </c>
      <c r="H225" s="66">
        <v>30.48</v>
      </c>
      <c r="I225" s="66">
        <v>42.49</v>
      </c>
      <c r="J225" s="66">
        <v>47.86</v>
      </c>
      <c r="K225" s="66">
        <v>40.81</v>
      </c>
      <c r="L225" s="66">
        <v>84.8</v>
      </c>
      <c r="M225" s="66">
        <v>38.75</v>
      </c>
      <c r="N225" s="66">
        <v>42.83</v>
      </c>
      <c r="O225" s="66">
        <v>39.86</v>
      </c>
      <c r="P225" s="65" t="s">
        <v>208</v>
      </c>
      <c r="Q225" s="66">
        <v>87.65</v>
      </c>
      <c r="R225" s="66">
        <v>43.6</v>
      </c>
      <c r="S225" s="66">
        <v>53.32</v>
      </c>
    </row>
    <row r="226" spans="1:19" x14ac:dyDescent="0.35">
      <c r="A226" s="76">
        <v>45873</v>
      </c>
      <c r="B226" s="65" t="s">
        <v>423</v>
      </c>
      <c r="C226" s="66">
        <v>63.46</v>
      </c>
      <c r="D226" s="66">
        <v>62.11</v>
      </c>
      <c r="E226" s="66">
        <v>57.62</v>
      </c>
      <c r="F226" s="66">
        <v>47.39</v>
      </c>
      <c r="G226" s="66">
        <v>58.47</v>
      </c>
      <c r="H226" s="66">
        <v>47.01</v>
      </c>
      <c r="I226" s="66">
        <v>61.73</v>
      </c>
      <c r="J226" s="66">
        <v>57.05</v>
      </c>
      <c r="K226" s="66">
        <v>64.02</v>
      </c>
      <c r="L226" s="66">
        <v>98.99</v>
      </c>
      <c r="M226" s="66">
        <v>54.11</v>
      </c>
      <c r="N226" s="66">
        <v>71.260000000000005</v>
      </c>
      <c r="O226" s="66">
        <v>65.62</v>
      </c>
      <c r="P226" s="65" t="s">
        <v>208</v>
      </c>
      <c r="Q226" s="66">
        <v>111.91</v>
      </c>
      <c r="R226" s="66">
        <v>75.34</v>
      </c>
      <c r="S226" s="66">
        <v>85.46</v>
      </c>
    </row>
    <row r="227" spans="1:19" x14ac:dyDescent="0.35">
      <c r="A227" s="76">
        <v>45874</v>
      </c>
      <c r="B227" s="65" t="s">
        <v>424</v>
      </c>
      <c r="C227" s="66">
        <v>36.049999999999997</v>
      </c>
      <c r="D227" s="66">
        <v>29.94</v>
      </c>
      <c r="E227" s="66">
        <v>22.28</v>
      </c>
      <c r="F227" s="66">
        <v>-0.09</v>
      </c>
      <c r="G227" s="66">
        <v>5.53</v>
      </c>
      <c r="H227" s="66">
        <v>12.1</v>
      </c>
      <c r="I227" s="66">
        <v>31.83</v>
      </c>
      <c r="J227" s="66">
        <v>18.88</v>
      </c>
      <c r="K227" s="66">
        <v>43.88</v>
      </c>
      <c r="L227" s="66">
        <v>95.53</v>
      </c>
      <c r="M227" s="66">
        <v>0.38</v>
      </c>
      <c r="N227" s="66">
        <v>55.28</v>
      </c>
      <c r="O227" s="66">
        <v>43.75</v>
      </c>
      <c r="P227" s="65" t="s">
        <v>208</v>
      </c>
      <c r="Q227" s="66">
        <v>105.4</v>
      </c>
      <c r="R227" s="66">
        <v>58.03</v>
      </c>
      <c r="S227" s="66">
        <v>60.95</v>
      </c>
    </row>
    <row r="228" spans="1:19" x14ac:dyDescent="0.35">
      <c r="A228" s="76">
        <v>45875</v>
      </c>
      <c r="B228" s="65" t="s">
        <v>425</v>
      </c>
      <c r="C228" s="66">
        <v>61.94</v>
      </c>
      <c r="D228" s="66">
        <v>49.5</v>
      </c>
      <c r="E228" s="66">
        <v>58.96</v>
      </c>
      <c r="F228" s="66">
        <v>21.55</v>
      </c>
      <c r="G228" s="66">
        <v>30.44</v>
      </c>
      <c r="H228" s="66">
        <v>49.43</v>
      </c>
      <c r="I228" s="66">
        <v>63.33</v>
      </c>
      <c r="J228" s="66">
        <v>33.79</v>
      </c>
      <c r="K228" s="66">
        <v>60.99</v>
      </c>
      <c r="L228" s="66">
        <v>76.77</v>
      </c>
      <c r="M228" s="66">
        <v>2.63</v>
      </c>
      <c r="N228" s="66">
        <v>83.78</v>
      </c>
      <c r="O228" s="66">
        <v>62.81</v>
      </c>
      <c r="P228" s="65" t="s">
        <v>208</v>
      </c>
      <c r="Q228" s="66">
        <v>107.78</v>
      </c>
      <c r="R228" s="66">
        <v>71.16</v>
      </c>
      <c r="S228" s="66">
        <v>71.5</v>
      </c>
    </row>
    <row r="229" spans="1:19" x14ac:dyDescent="0.35">
      <c r="A229" s="76">
        <v>45876</v>
      </c>
      <c r="B229" s="65" t="s">
        <v>426</v>
      </c>
      <c r="C229" s="66">
        <v>71.790000000000006</v>
      </c>
      <c r="D229" s="66">
        <v>64.010000000000005</v>
      </c>
      <c r="E229" s="66">
        <v>61.54</v>
      </c>
      <c r="F229" s="66">
        <v>70</v>
      </c>
      <c r="G229" s="66">
        <v>71.400000000000006</v>
      </c>
      <c r="H229" s="66">
        <v>53.45</v>
      </c>
      <c r="I229" s="66">
        <v>68.099999999999994</v>
      </c>
      <c r="J229" s="66">
        <v>59.91</v>
      </c>
      <c r="K229" s="66">
        <v>65.650000000000006</v>
      </c>
      <c r="L229" s="66">
        <v>81.099999999999994</v>
      </c>
      <c r="M229" s="66">
        <v>25.28</v>
      </c>
      <c r="N229" s="66">
        <v>78.14</v>
      </c>
      <c r="O229" s="66">
        <v>69.599999999999994</v>
      </c>
      <c r="P229" s="65" t="s">
        <v>208</v>
      </c>
      <c r="Q229" s="66">
        <v>110.98</v>
      </c>
      <c r="R229" s="66">
        <v>70.569999999999993</v>
      </c>
      <c r="S229" s="66">
        <v>73</v>
      </c>
    </row>
    <row r="230" spans="1:19" x14ac:dyDescent="0.35">
      <c r="A230" s="76">
        <v>45877</v>
      </c>
      <c r="B230" s="65" t="s">
        <v>427</v>
      </c>
      <c r="C230" s="66">
        <v>76.16</v>
      </c>
      <c r="D230" s="66">
        <v>70.3</v>
      </c>
      <c r="E230" s="66">
        <v>67.52</v>
      </c>
      <c r="F230" s="66">
        <v>75.72</v>
      </c>
      <c r="G230" s="66">
        <v>76.03</v>
      </c>
      <c r="H230" s="66">
        <v>53.86</v>
      </c>
      <c r="I230" s="66">
        <v>75.52</v>
      </c>
      <c r="J230" s="66">
        <v>66.09</v>
      </c>
      <c r="K230" s="66">
        <v>68.62</v>
      </c>
      <c r="L230" s="66">
        <v>97.2</v>
      </c>
      <c r="M230" s="66">
        <v>41.47</v>
      </c>
      <c r="N230" s="66">
        <v>76.349999999999994</v>
      </c>
      <c r="O230" s="66">
        <v>74.87</v>
      </c>
      <c r="P230" s="65" t="s">
        <v>208</v>
      </c>
      <c r="Q230" s="66">
        <v>106.9</v>
      </c>
      <c r="R230" s="66">
        <v>81.180000000000007</v>
      </c>
      <c r="S230" s="66">
        <v>77.959999999999994</v>
      </c>
    </row>
    <row r="231" spans="1:19" x14ac:dyDescent="0.35">
      <c r="A231" s="76">
        <v>45878</v>
      </c>
      <c r="B231" s="65" t="s">
        <v>428</v>
      </c>
      <c r="C231" s="66">
        <v>61.42</v>
      </c>
      <c r="D231" s="66">
        <v>54.85</v>
      </c>
      <c r="E231" s="66">
        <v>48.31</v>
      </c>
      <c r="F231" s="66">
        <v>60.32</v>
      </c>
      <c r="G231" s="66">
        <v>62.7</v>
      </c>
      <c r="H231" s="66">
        <v>38.06</v>
      </c>
      <c r="I231" s="66">
        <v>59.22</v>
      </c>
      <c r="J231" s="66">
        <v>49.61</v>
      </c>
      <c r="K231" s="66">
        <v>61.17</v>
      </c>
      <c r="L231" s="66">
        <v>74.66</v>
      </c>
      <c r="M231" s="66">
        <v>20.41</v>
      </c>
      <c r="N231" s="66">
        <v>66.2</v>
      </c>
      <c r="O231" s="66">
        <v>62.67</v>
      </c>
      <c r="P231" s="65" t="s">
        <v>208</v>
      </c>
      <c r="Q231" s="66">
        <v>102.73</v>
      </c>
      <c r="R231" s="66">
        <v>69.12</v>
      </c>
      <c r="S231" s="66">
        <v>73.7</v>
      </c>
    </row>
    <row r="232" spans="1:19" x14ac:dyDescent="0.35">
      <c r="A232" s="76">
        <v>45879</v>
      </c>
      <c r="B232" s="65" t="s">
        <v>429</v>
      </c>
      <c r="C232" s="66">
        <v>46.8</v>
      </c>
      <c r="D232" s="66">
        <v>44.19</v>
      </c>
      <c r="E232" s="66">
        <v>44.6</v>
      </c>
      <c r="F232" s="66">
        <v>50.12</v>
      </c>
      <c r="G232" s="66">
        <v>51.25</v>
      </c>
      <c r="H232" s="66">
        <v>33.01</v>
      </c>
      <c r="I232" s="66">
        <v>47.32</v>
      </c>
      <c r="J232" s="66">
        <v>49.71</v>
      </c>
      <c r="K232" s="66">
        <v>45.22</v>
      </c>
      <c r="L232" s="66">
        <v>47.55</v>
      </c>
      <c r="M232" s="66">
        <v>17.350000000000001</v>
      </c>
      <c r="N232" s="66">
        <v>52.59</v>
      </c>
      <c r="O232" s="66">
        <v>47.33</v>
      </c>
      <c r="P232" s="65" t="s">
        <v>208</v>
      </c>
      <c r="Q232" s="66">
        <v>101.29</v>
      </c>
      <c r="R232" s="66">
        <v>51.35</v>
      </c>
      <c r="S232" s="66">
        <v>49.46</v>
      </c>
    </row>
    <row r="233" spans="1:19" x14ac:dyDescent="0.35">
      <c r="A233" s="76">
        <v>45880</v>
      </c>
      <c r="B233" s="65" t="s">
        <v>430</v>
      </c>
      <c r="C233" s="66">
        <v>84.48</v>
      </c>
      <c r="D233" s="66">
        <v>77.819999999999993</v>
      </c>
      <c r="E233" s="66">
        <v>71.45</v>
      </c>
      <c r="F233" s="66">
        <v>84.53</v>
      </c>
      <c r="G233" s="66">
        <v>84.65</v>
      </c>
      <c r="H233" s="66">
        <v>52.11</v>
      </c>
      <c r="I233" s="66">
        <v>83.02</v>
      </c>
      <c r="J233" s="66">
        <v>79.23</v>
      </c>
      <c r="K233" s="66">
        <v>80.92</v>
      </c>
      <c r="L233" s="66">
        <v>88.38</v>
      </c>
      <c r="M233" s="66">
        <v>70.180000000000007</v>
      </c>
      <c r="N233" s="66">
        <v>77.13</v>
      </c>
      <c r="O233" s="66">
        <v>84.38</v>
      </c>
      <c r="P233" s="65" t="s">
        <v>208</v>
      </c>
      <c r="Q233" s="66">
        <v>115.32</v>
      </c>
      <c r="R233" s="66">
        <v>85.45</v>
      </c>
      <c r="S233" s="66">
        <v>85.58</v>
      </c>
    </row>
    <row r="234" spans="1:19" x14ac:dyDescent="0.35">
      <c r="A234" s="76">
        <v>45881</v>
      </c>
      <c r="B234" s="65" t="s">
        <v>431</v>
      </c>
      <c r="C234" s="66">
        <v>84.95</v>
      </c>
      <c r="D234" s="66">
        <v>84.57</v>
      </c>
      <c r="E234" s="66">
        <v>82.95</v>
      </c>
      <c r="F234" s="66">
        <v>85.02</v>
      </c>
      <c r="G234" s="66">
        <v>85.12</v>
      </c>
      <c r="H234" s="66">
        <v>79.84</v>
      </c>
      <c r="I234" s="66">
        <v>83.82</v>
      </c>
      <c r="J234" s="66">
        <v>81.72</v>
      </c>
      <c r="K234" s="66">
        <v>79.72</v>
      </c>
      <c r="L234" s="66">
        <v>94.2</v>
      </c>
      <c r="M234" s="66">
        <v>84.22</v>
      </c>
      <c r="N234" s="66">
        <v>86.67</v>
      </c>
      <c r="O234" s="66">
        <v>87.04</v>
      </c>
      <c r="P234" s="65" t="s">
        <v>208</v>
      </c>
      <c r="Q234" s="66">
        <v>113.1</v>
      </c>
      <c r="R234" s="66">
        <v>95.6</v>
      </c>
      <c r="S234" s="66">
        <v>90.86</v>
      </c>
    </row>
    <row r="235" spans="1:19" x14ac:dyDescent="0.35">
      <c r="A235" s="76">
        <v>45882</v>
      </c>
      <c r="B235" s="65" t="s">
        <v>432</v>
      </c>
      <c r="C235" s="66">
        <v>99.83</v>
      </c>
      <c r="D235" s="66">
        <v>97.22</v>
      </c>
      <c r="E235" s="66">
        <v>99.58</v>
      </c>
      <c r="F235" s="66">
        <v>99.83</v>
      </c>
      <c r="G235" s="66">
        <v>100</v>
      </c>
      <c r="H235" s="66">
        <v>96.56</v>
      </c>
      <c r="I235" s="66">
        <v>99.25</v>
      </c>
      <c r="J235" s="66">
        <v>90.17</v>
      </c>
      <c r="K235" s="66">
        <v>91.99</v>
      </c>
      <c r="L235" s="66">
        <v>99.17</v>
      </c>
      <c r="M235" s="66">
        <v>100</v>
      </c>
      <c r="N235" s="66">
        <v>96.98</v>
      </c>
      <c r="O235" s="66">
        <v>95.9</v>
      </c>
      <c r="P235" s="65" t="s">
        <v>208</v>
      </c>
      <c r="Q235" s="66">
        <v>117.6</v>
      </c>
      <c r="R235" s="66">
        <v>95.02</v>
      </c>
      <c r="S235" s="66">
        <v>100.15</v>
      </c>
    </row>
    <row r="236" spans="1:19" x14ac:dyDescent="0.35">
      <c r="A236" s="76">
        <v>45883</v>
      </c>
      <c r="B236" s="65" t="s">
        <v>433</v>
      </c>
      <c r="C236" s="66">
        <v>105.06</v>
      </c>
      <c r="D236" s="66">
        <v>100.96</v>
      </c>
      <c r="E236" s="66">
        <v>97.49</v>
      </c>
      <c r="F236" s="66">
        <v>104.99</v>
      </c>
      <c r="G236" s="66">
        <v>105.05</v>
      </c>
      <c r="H236" s="66">
        <v>89.68</v>
      </c>
      <c r="I236" s="66">
        <v>103.68</v>
      </c>
      <c r="J236" s="66">
        <v>91.28</v>
      </c>
      <c r="K236" s="66">
        <v>102.41</v>
      </c>
      <c r="L236" s="66">
        <v>109.6</v>
      </c>
      <c r="M236" s="66">
        <v>102.8</v>
      </c>
      <c r="N236" s="66">
        <v>98.42</v>
      </c>
      <c r="O236" s="66">
        <v>105.17</v>
      </c>
      <c r="P236" s="65" t="s">
        <v>208</v>
      </c>
      <c r="Q236" s="66">
        <v>114.51</v>
      </c>
      <c r="R236" s="66">
        <v>105.99</v>
      </c>
      <c r="S236" s="66">
        <v>108.77</v>
      </c>
    </row>
    <row r="237" spans="1:19" x14ac:dyDescent="0.35">
      <c r="A237" s="76">
        <v>45884</v>
      </c>
      <c r="B237" s="65" t="s">
        <v>434</v>
      </c>
      <c r="C237" s="66">
        <v>73.61</v>
      </c>
      <c r="D237" s="66">
        <v>70.459999999999994</v>
      </c>
      <c r="E237" s="66">
        <v>68.94</v>
      </c>
      <c r="F237" s="66">
        <v>69.62</v>
      </c>
      <c r="G237" s="66">
        <v>72.13</v>
      </c>
      <c r="H237" s="66">
        <v>57.97</v>
      </c>
      <c r="I237" s="66">
        <v>73.2</v>
      </c>
      <c r="J237" s="66">
        <v>66.95</v>
      </c>
      <c r="K237" s="66">
        <v>71.55</v>
      </c>
      <c r="L237" s="66">
        <v>75.459999999999994</v>
      </c>
      <c r="M237" s="66">
        <v>69.819999999999993</v>
      </c>
      <c r="N237" s="66">
        <v>76.040000000000006</v>
      </c>
      <c r="O237" s="66">
        <v>73.38</v>
      </c>
      <c r="P237" s="65" t="s">
        <v>208</v>
      </c>
      <c r="Q237" s="66">
        <v>109.14</v>
      </c>
      <c r="R237" s="66">
        <v>72.92</v>
      </c>
      <c r="S237" s="66">
        <v>73.209999999999994</v>
      </c>
    </row>
    <row r="238" spans="1:19" x14ac:dyDescent="0.35">
      <c r="A238" s="76">
        <v>45885</v>
      </c>
      <c r="B238" s="65" t="s">
        <v>435</v>
      </c>
      <c r="C238" s="66">
        <v>60.93</v>
      </c>
      <c r="D238" s="66">
        <v>59.14</v>
      </c>
      <c r="E238" s="66">
        <v>58.4</v>
      </c>
      <c r="F238" s="66">
        <v>60.08</v>
      </c>
      <c r="G238" s="66">
        <v>60.73</v>
      </c>
      <c r="H238" s="66">
        <v>47.26</v>
      </c>
      <c r="I238" s="66">
        <v>62.11</v>
      </c>
      <c r="J238" s="66">
        <v>60.03</v>
      </c>
      <c r="K238" s="66">
        <v>63.28</v>
      </c>
      <c r="L238" s="66">
        <v>65.209999999999994</v>
      </c>
      <c r="M238" s="66">
        <v>43.84</v>
      </c>
      <c r="N238" s="66">
        <v>66.75</v>
      </c>
      <c r="O238" s="66">
        <v>62.81</v>
      </c>
      <c r="P238" s="65" t="s">
        <v>208</v>
      </c>
      <c r="Q238" s="66">
        <v>113.08</v>
      </c>
      <c r="R238" s="66">
        <v>65.92</v>
      </c>
      <c r="S238" s="66">
        <v>78.849999999999994</v>
      </c>
    </row>
    <row r="239" spans="1:19" x14ac:dyDescent="0.35">
      <c r="A239" s="76">
        <v>45886</v>
      </c>
      <c r="B239" s="65" t="s">
        <v>436</v>
      </c>
      <c r="C239" s="66">
        <v>64.05</v>
      </c>
      <c r="D239" s="66">
        <v>60.19</v>
      </c>
      <c r="E239" s="66">
        <v>60.58</v>
      </c>
      <c r="F239" s="66">
        <v>64.510000000000005</v>
      </c>
      <c r="G239" s="66">
        <v>64.19</v>
      </c>
      <c r="H239" s="66">
        <v>40.96</v>
      </c>
      <c r="I239" s="66">
        <v>66.19</v>
      </c>
      <c r="J239" s="66">
        <v>63.96</v>
      </c>
      <c r="K239" s="66">
        <v>61.44</v>
      </c>
      <c r="L239" s="66">
        <v>64.55</v>
      </c>
      <c r="M239" s="66">
        <v>50.51</v>
      </c>
      <c r="N239" s="66">
        <v>62.05</v>
      </c>
      <c r="O239" s="66">
        <v>63.16</v>
      </c>
      <c r="P239" s="65" t="s">
        <v>208</v>
      </c>
      <c r="Q239" s="66">
        <v>104.78</v>
      </c>
      <c r="R239" s="66">
        <v>61.08</v>
      </c>
      <c r="S239" s="66">
        <v>63.04</v>
      </c>
    </row>
    <row r="240" spans="1:19" x14ac:dyDescent="0.35">
      <c r="A240" s="76">
        <v>45887</v>
      </c>
      <c r="B240" s="65" t="s">
        <v>437</v>
      </c>
      <c r="C240" s="66">
        <v>91.53</v>
      </c>
      <c r="D240" s="66">
        <v>88.96</v>
      </c>
      <c r="E240" s="66">
        <v>85.41</v>
      </c>
      <c r="F240" s="66">
        <v>91.39</v>
      </c>
      <c r="G240" s="66">
        <v>92.13</v>
      </c>
      <c r="H240" s="66">
        <v>69.97</v>
      </c>
      <c r="I240" s="66">
        <v>87.23</v>
      </c>
      <c r="J240" s="66">
        <v>82.72</v>
      </c>
      <c r="K240" s="66">
        <v>90.07</v>
      </c>
      <c r="L240" s="66">
        <v>109.51</v>
      </c>
      <c r="M240" s="66">
        <v>91</v>
      </c>
      <c r="N240" s="66">
        <v>87.37</v>
      </c>
      <c r="O240" s="66">
        <v>91.77</v>
      </c>
      <c r="P240" s="65" t="s">
        <v>208</v>
      </c>
      <c r="Q240" s="66">
        <v>109.42</v>
      </c>
      <c r="R240" s="66">
        <v>90.13</v>
      </c>
      <c r="S240" s="66">
        <v>91.34</v>
      </c>
    </row>
    <row r="241" spans="1:19" x14ac:dyDescent="0.35">
      <c r="A241" s="76">
        <v>45888</v>
      </c>
      <c r="B241" s="65" t="s">
        <v>438</v>
      </c>
      <c r="C241" s="66">
        <v>82.39</v>
      </c>
      <c r="D241" s="66">
        <v>83.13</v>
      </c>
      <c r="E241" s="66">
        <v>76.08</v>
      </c>
      <c r="F241" s="66">
        <v>82.31</v>
      </c>
      <c r="G241" s="66">
        <v>82.32</v>
      </c>
      <c r="H241" s="66">
        <v>71.239999999999995</v>
      </c>
      <c r="I241" s="66">
        <v>77.88</v>
      </c>
      <c r="J241" s="66">
        <v>76.66</v>
      </c>
      <c r="K241" s="66">
        <v>86.66</v>
      </c>
      <c r="L241" s="66">
        <v>101.81</v>
      </c>
      <c r="M241" s="66">
        <v>77.94</v>
      </c>
      <c r="N241" s="66">
        <v>93.19</v>
      </c>
      <c r="O241" s="66">
        <v>88.32</v>
      </c>
      <c r="P241" s="65" t="s">
        <v>208</v>
      </c>
      <c r="Q241" s="66">
        <v>102.34</v>
      </c>
      <c r="R241" s="66">
        <v>92.46</v>
      </c>
      <c r="S241" s="66">
        <v>91.94</v>
      </c>
    </row>
    <row r="242" spans="1:19" x14ac:dyDescent="0.35">
      <c r="A242" s="76">
        <v>45889</v>
      </c>
      <c r="B242" s="65" t="s">
        <v>439</v>
      </c>
      <c r="C242" s="66">
        <v>91.01</v>
      </c>
      <c r="D242" s="66">
        <v>86.56</v>
      </c>
      <c r="E242" s="66">
        <v>81.739999999999995</v>
      </c>
      <c r="F242" s="66">
        <v>89.4</v>
      </c>
      <c r="G242" s="66">
        <v>89.49</v>
      </c>
      <c r="H242" s="66">
        <v>64.11</v>
      </c>
      <c r="I242" s="66">
        <v>86.05</v>
      </c>
      <c r="J242" s="66">
        <v>86.45</v>
      </c>
      <c r="K242" s="66">
        <v>89.43</v>
      </c>
      <c r="L242" s="66">
        <v>92.34</v>
      </c>
      <c r="M242" s="66">
        <v>85.46</v>
      </c>
      <c r="N242" s="66">
        <v>96.4</v>
      </c>
      <c r="O242" s="66">
        <v>91.23</v>
      </c>
      <c r="P242" s="65" t="s">
        <v>208</v>
      </c>
      <c r="Q242" s="66">
        <v>109.63</v>
      </c>
      <c r="R242" s="66">
        <v>89.8</v>
      </c>
      <c r="S242" s="66">
        <v>90.68</v>
      </c>
    </row>
    <row r="243" spans="1:19" x14ac:dyDescent="0.35">
      <c r="A243" s="76">
        <v>45890</v>
      </c>
      <c r="B243" s="65" t="s">
        <v>440</v>
      </c>
      <c r="C243" s="66">
        <v>92.68</v>
      </c>
      <c r="D243" s="66">
        <v>86.79</v>
      </c>
      <c r="E243" s="66">
        <v>75.36</v>
      </c>
      <c r="F243" s="66">
        <v>91.24</v>
      </c>
      <c r="G243" s="66">
        <v>92.52</v>
      </c>
      <c r="H243" s="66">
        <v>32.729999999999997</v>
      </c>
      <c r="I243" s="66">
        <v>86.33</v>
      </c>
      <c r="J243" s="66">
        <v>88.65</v>
      </c>
      <c r="K243" s="66">
        <v>96.54</v>
      </c>
      <c r="L243" s="66">
        <v>104.16</v>
      </c>
      <c r="M243" s="66">
        <v>92.35</v>
      </c>
      <c r="N243" s="66">
        <v>97.9</v>
      </c>
      <c r="O243" s="66">
        <v>96.89</v>
      </c>
      <c r="P243" s="65" t="s">
        <v>208</v>
      </c>
      <c r="Q243" s="66">
        <v>107.81</v>
      </c>
      <c r="R243" s="66">
        <v>96.52</v>
      </c>
      <c r="S243" s="66">
        <v>98.82</v>
      </c>
    </row>
    <row r="244" spans="1:19" x14ac:dyDescent="0.35">
      <c r="A244" s="76">
        <v>45891</v>
      </c>
      <c r="B244" s="65" t="s">
        <v>441</v>
      </c>
      <c r="C244" s="66">
        <v>73.69</v>
      </c>
      <c r="D244" s="66">
        <v>74.47</v>
      </c>
      <c r="E244" s="66">
        <v>84.77</v>
      </c>
      <c r="F244" s="66">
        <v>63.96</v>
      </c>
      <c r="G244" s="66">
        <v>71.69</v>
      </c>
      <c r="H244" s="66">
        <v>50.72</v>
      </c>
      <c r="I244" s="66">
        <v>85.23</v>
      </c>
      <c r="J244" s="66">
        <v>77.569999999999993</v>
      </c>
      <c r="K244" s="66">
        <v>72.16</v>
      </c>
      <c r="L244" s="66">
        <v>78.569999999999993</v>
      </c>
      <c r="M244" s="66">
        <v>72.319999999999993</v>
      </c>
      <c r="N244" s="66">
        <v>88.75</v>
      </c>
      <c r="O244" s="66">
        <v>73.39</v>
      </c>
      <c r="P244" s="65" t="s">
        <v>208</v>
      </c>
      <c r="Q244" s="66">
        <v>104.14</v>
      </c>
      <c r="R244" s="66">
        <v>71.62</v>
      </c>
      <c r="S244" s="66">
        <v>73.239999999999995</v>
      </c>
    </row>
    <row r="245" spans="1:19" x14ac:dyDescent="0.35">
      <c r="A245" s="76">
        <v>45892</v>
      </c>
      <c r="B245" s="65" t="s">
        <v>442</v>
      </c>
      <c r="C245" s="66">
        <v>67.88</v>
      </c>
      <c r="D245" s="66">
        <v>67.22</v>
      </c>
      <c r="E245" s="66">
        <v>68.97</v>
      </c>
      <c r="F245" s="66">
        <v>68.13</v>
      </c>
      <c r="G245" s="66">
        <v>66.64</v>
      </c>
      <c r="H245" s="66">
        <v>63.19</v>
      </c>
      <c r="I245" s="66">
        <v>69.17</v>
      </c>
      <c r="J245" s="66">
        <v>67.88</v>
      </c>
      <c r="K245" s="66">
        <v>68.55</v>
      </c>
      <c r="L245" s="66">
        <v>74.81</v>
      </c>
      <c r="M245" s="66">
        <v>59.1</v>
      </c>
      <c r="N245" s="66">
        <v>65.540000000000006</v>
      </c>
      <c r="O245" s="66">
        <v>67.459999999999994</v>
      </c>
      <c r="P245" s="65" t="s">
        <v>208</v>
      </c>
      <c r="Q245" s="66">
        <v>99.06</v>
      </c>
      <c r="R245" s="66">
        <v>68.66</v>
      </c>
      <c r="S245" s="66">
        <v>70.739999999999995</v>
      </c>
    </row>
    <row r="246" spans="1:19" x14ac:dyDescent="0.35">
      <c r="A246" s="76">
        <v>45893</v>
      </c>
      <c r="B246" s="65" t="s">
        <v>443</v>
      </c>
      <c r="C246" s="66">
        <v>63.05</v>
      </c>
      <c r="D246" s="66">
        <v>61.88</v>
      </c>
      <c r="E246" s="66">
        <v>63</v>
      </c>
      <c r="F246" s="66">
        <v>63.76</v>
      </c>
      <c r="G246" s="66">
        <v>63.61</v>
      </c>
      <c r="H246" s="66">
        <v>57.39</v>
      </c>
      <c r="I246" s="66">
        <v>63.51</v>
      </c>
      <c r="J246" s="66">
        <v>63.77</v>
      </c>
      <c r="K246" s="66">
        <v>62.85</v>
      </c>
      <c r="L246" s="66">
        <v>62.08</v>
      </c>
      <c r="M246" s="66">
        <v>56.03</v>
      </c>
      <c r="N246" s="66">
        <v>62.68</v>
      </c>
      <c r="O246" s="66">
        <v>62.02</v>
      </c>
      <c r="P246" s="65" t="s">
        <v>208</v>
      </c>
      <c r="Q246" s="66">
        <v>96.37</v>
      </c>
      <c r="R246" s="66">
        <v>62.33</v>
      </c>
      <c r="S246" s="66">
        <v>61.41</v>
      </c>
    </row>
    <row r="247" spans="1:19" x14ac:dyDescent="0.35">
      <c r="A247" s="76">
        <v>45894</v>
      </c>
      <c r="B247" s="65" t="s">
        <v>444</v>
      </c>
      <c r="C247" s="66">
        <v>89.09</v>
      </c>
      <c r="D247" s="66">
        <v>85.6</v>
      </c>
      <c r="E247" s="66">
        <v>85</v>
      </c>
      <c r="F247" s="66">
        <v>88.99</v>
      </c>
      <c r="G247" s="66">
        <v>89</v>
      </c>
      <c r="H247" s="66">
        <v>75.930000000000007</v>
      </c>
      <c r="I247" s="66">
        <v>86.44</v>
      </c>
      <c r="J247" s="66">
        <v>87.37</v>
      </c>
      <c r="K247" s="66">
        <v>87.39</v>
      </c>
      <c r="L247" s="66">
        <v>89.27</v>
      </c>
      <c r="M247" s="66">
        <v>82.18</v>
      </c>
      <c r="N247" s="66">
        <v>81.5</v>
      </c>
      <c r="O247" s="66">
        <v>88.53</v>
      </c>
      <c r="P247" s="65" t="s">
        <v>208</v>
      </c>
      <c r="Q247" s="66">
        <v>115.74</v>
      </c>
      <c r="R247" s="66">
        <v>87.53</v>
      </c>
      <c r="S247" s="66">
        <v>88.03</v>
      </c>
    </row>
    <row r="248" spans="1:19" x14ac:dyDescent="0.35">
      <c r="A248" s="76">
        <v>45895</v>
      </c>
      <c r="B248" s="65" t="s">
        <v>445</v>
      </c>
      <c r="C248" s="66">
        <v>99.79</v>
      </c>
      <c r="D248" s="66">
        <v>96.2</v>
      </c>
      <c r="E248" s="66">
        <v>86.92</v>
      </c>
      <c r="F248" s="66">
        <v>101.28</v>
      </c>
      <c r="G248" s="66">
        <v>103.48</v>
      </c>
      <c r="H248" s="66">
        <v>76.94</v>
      </c>
      <c r="I248" s="66">
        <v>91.85</v>
      </c>
      <c r="J248" s="66">
        <v>97.59</v>
      </c>
      <c r="K248" s="66">
        <v>97.96</v>
      </c>
      <c r="L248" s="66">
        <v>106.47</v>
      </c>
      <c r="M248" s="66">
        <v>102.75</v>
      </c>
      <c r="N248" s="66">
        <v>92.83</v>
      </c>
      <c r="O248" s="66">
        <v>100.13</v>
      </c>
      <c r="P248" s="65" t="s">
        <v>208</v>
      </c>
      <c r="Q248" s="66">
        <v>115</v>
      </c>
      <c r="R248" s="66">
        <v>98.26</v>
      </c>
      <c r="S248" s="66">
        <v>97.17</v>
      </c>
    </row>
    <row r="249" spans="1:19" x14ac:dyDescent="0.35">
      <c r="A249" s="76">
        <v>45896</v>
      </c>
      <c r="B249" s="65" t="s">
        <v>446</v>
      </c>
      <c r="C249" s="66">
        <v>104.62</v>
      </c>
      <c r="D249" s="66">
        <v>101.23</v>
      </c>
      <c r="E249" s="66">
        <v>96.57</v>
      </c>
      <c r="F249" s="66">
        <v>104.9</v>
      </c>
      <c r="G249" s="66">
        <v>107.66</v>
      </c>
      <c r="H249" s="66">
        <v>87.5</v>
      </c>
      <c r="I249" s="66">
        <v>99.35</v>
      </c>
      <c r="J249" s="66">
        <v>98.63</v>
      </c>
      <c r="K249" s="66">
        <v>102.56</v>
      </c>
      <c r="L249" s="66">
        <v>106.82</v>
      </c>
      <c r="M249" s="66">
        <v>107.5</v>
      </c>
      <c r="N249" s="66">
        <v>97.46</v>
      </c>
      <c r="O249" s="66">
        <v>104.63</v>
      </c>
      <c r="P249" s="65" t="s">
        <v>208</v>
      </c>
      <c r="Q249" s="66">
        <v>117.66</v>
      </c>
      <c r="R249" s="66">
        <v>101.64</v>
      </c>
      <c r="S249" s="66">
        <v>99.97</v>
      </c>
    </row>
    <row r="250" spans="1:19" x14ac:dyDescent="0.35">
      <c r="A250" s="76">
        <v>45897</v>
      </c>
      <c r="B250" s="65" t="s">
        <v>447</v>
      </c>
      <c r="C250" s="66">
        <v>115.89</v>
      </c>
      <c r="D250" s="66">
        <v>98.29</v>
      </c>
      <c r="E250" s="66">
        <v>88.76</v>
      </c>
      <c r="F250" s="66">
        <v>115.92</v>
      </c>
      <c r="G250" s="66">
        <v>116.47</v>
      </c>
      <c r="H250" s="66">
        <v>58.88</v>
      </c>
      <c r="I250" s="66">
        <v>99.73</v>
      </c>
      <c r="J250" s="66">
        <v>102.83</v>
      </c>
      <c r="K250" s="66">
        <v>69.67</v>
      </c>
      <c r="L250" s="66">
        <v>100.24</v>
      </c>
      <c r="M250" s="66">
        <v>115.67</v>
      </c>
      <c r="N250" s="66">
        <v>111.68</v>
      </c>
      <c r="O250" s="66">
        <v>101.32</v>
      </c>
      <c r="P250" s="65" t="s">
        <v>208</v>
      </c>
      <c r="Q250" s="66">
        <v>122.06</v>
      </c>
      <c r="R250" s="66">
        <v>81.97</v>
      </c>
      <c r="S250" s="66">
        <v>83.6</v>
      </c>
    </row>
    <row r="251" spans="1:19" x14ac:dyDescent="0.35">
      <c r="A251" s="76">
        <v>45898</v>
      </c>
      <c r="B251" s="65" t="s">
        <v>448</v>
      </c>
      <c r="C251" s="66">
        <v>94.12</v>
      </c>
      <c r="D251" s="66">
        <v>87.59</v>
      </c>
      <c r="E251" s="66">
        <v>69.53</v>
      </c>
      <c r="F251" s="66">
        <v>94.34</v>
      </c>
      <c r="G251" s="66">
        <v>97.72</v>
      </c>
      <c r="H251" s="66">
        <v>35.26</v>
      </c>
      <c r="I251" s="66">
        <v>84.02</v>
      </c>
      <c r="J251" s="66">
        <v>89.57</v>
      </c>
      <c r="K251" s="66">
        <v>96.02</v>
      </c>
      <c r="L251" s="66">
        <v>111.77</v>
      </c>
      <c r="M251" s="66">
        <v>97.1</v>
      </c>
      <c r="N251" s="66">
        <v>89.77</v>
      </c>
      <c r="O251" s="66">
        <v>98.37</v>
      </c>
      <c r="P251" s="65" t="s">
        <v>208</v>
      </c>
      <c r="Q251" s="66">
        <v>115.1</v>
      </c>
      <c r="R251" s="66">
        <v>95.99</v>
      </c>
      <c r="S251" s="66">
        <v>96.03</v>
      </c>
    </row>
    <row r="252" spans="1:19" x14ac:dyDescent="0.35">
      <c r="A252" s="76">
        <v>45899</v>
      </c>
      <c r="B252" s="65" t="s">
        <v>449</v>
      </c>
      <c r="C252" s="66">
        <v>70.2</v>
      </c>
      <c r="D252" s="66">
        <v>68.81</v>
      </c>
      <c r="E252" s="66">
        <v>54.45</v>
      </c>
      <c r="F252" s="66">
        <v>68.89</v>
      </c>
      <c r="G252" s="66">
        <v>72.58</v>
      </c>
      <c r="H252" s="66">
        <v>35.57</v>
      </c>
      <c r="I252" s="66">
        <v>64.62</v>
      </c>
      <c r="J252" s="66">
        <v>66.52</v>
      </c>
      <c r="K252" s="66">
        <v>72.06</v>
      </c>
      <c r="L252" s="66">
        <v>102.05</v>
      </c>
      <c r="M252" s="66">
        <v>72.27</v>
      </c>
      <c r="N252" s="66">
        <v>75.650000000000006</v>
      </c>
      <c r="O252" s="66">
        <v>72.25</v>
      </c>
      <c r="P252" s="65" t="s">
        <v>208</v>
      </c>
      <c r="Q252" s="66">
        <v>88.83</v>
      </c>
      <c r="R252" s="66">
        <v>74.98</v>
      </c>
      <c r="S252" s="66">
        <v>73.75</v>
      </c>
    </row>
    <row r="253" spans="1:19" x14ac:dyDescent="0.35">
      <c r="A253" s="76">
        <v>45900</v>
      </c>
      <c r="B253" s="65" t="s">
        <v>450</v>
      </c>
      <c r="C253" s="66">
        <v>57.62</v>
      </c>
      <c r="D253" s="66">
        <v>55.53</v>
      </c>
      <c r="E253" s="66">
        <v>37.78</v>
      </c>
      <c r="F253" s="66">
        <v>56.67</v>
      </c>
      <c r="G253" s="66">
        <v>59.41</v>
      </c>
      <c r="H253" s="66">
        <v>18.88</v>
      </c>
      <c r="I253" s="66">
        <v>53.38</v>
      </c>
      <c r="J253" s="66">
        <v>54.37</v>
      </c>
      <c r="K253" s="66">
        <v>56.05</v>
      </c>
      <c r="L253" s="66">
        <v>99.91</v>
      </c>
      <c r="M253" s="66">
        <v>59.2</v>
      </c>
      <c r="N253" s="66">
        <v>57.04</v>
      </c>
      <c r="O253" s="66">
        <v>58.2</v>
      </c>
      <c r="P253" s="65" t="s">
        <v>208</v>
      </c>
      <c r="Q253" s="66">
        <v>82.94</v>
      </c>
      <c r="R253" s="66">
        <v>55.82</v>
      </c>
      <c r="S253" s="66">
        <v>57.28</v>
      </c>
    </row>
    <row r="254" spans="1:19" x14ac:dyDescent="0.35">
      <c r="A254" s="76">
        <v>45901</v>
      </c>
      <c r="B254" s="65" t="s">
        <v>451</v>
      </c>
      <c r="C254" s="66">
        <v>101.46</v>
      </c>
      <c r="D254" s="66">
        <v>88.22</v>
      </c>
      <c r="E254" s="66">
        <v>68.2</v>
      </c>
      <c r="F254" s="66">
        <v>99.99</v>
      </c>
      <c r="G254" s="66">
        <v>101.1</v>
      </c>
      <c r="H254" s="66">
        <v>33.46</v>
      </c>
      <c r="I254" s="66">
        <v>84.37</v>
      </c>
      <c r="J254" s="66">
        <v>80.25</v>
      </c>
      <c r="K254" s="66">
        <v>98.03</v>
      </c>
      <c r="L254" s="66">
        <v>106.76</v>
      </c>
      <c r="M254" s="66">
        <v>99.46</v>
      </c>
      <c r="N254" s="66">
        <v>96.92</v>
      </c>
      <c r="O254" s="66">
        <v>101.92</v>
      </c>
      <c r="P254" s="65" t="s">
        <v>208</v>
      </c>
      <c r="Q254" s="66">
        <v>109.89</v>
      </c>
      <c r="R254" s="66">
        <v>99.89</v>
      </c>
      <c r="S254" s="66">
        <v>101.48</v>
      </c>
    </row>
    <row r="255" spans="1:19" x14ac:dyDescent="0.35">
      <c r="A255" s="76">
        <v>45902</v>
      </c>
      <c r="B255" s="65" t="s">
        <v>452</v>
      </c>
      <c r="C255" s="66">
        <v>122.09</v>
      </c>
      <c r="D255" s="66">
        <v>99.98</v>
      </c>
      <c r="E255" s="66">
        <v>71.78</v>
      </c>
      <c r="F255" s="66">
        <v>121.42</v>
      </c>
      <c r="G255" s="66">
        <v>122.68</v>
      </c>
      <c r="H255" s="66">
        <v>28.09</v>
      </c>
      <c r="I255" s="66">
        <v>90.98</v>
      </c>
      <c r="J255" s="66">
        <v>82.97</v>
      </c>
      <c r="K255" s="66">
        <v>114.29</v>
      </c>
      <c r="L255" s="66">
        <v>126.15</v>
      </c>
      <c r="M255" s="66">
        <v>120.95</v>
      </c>
      <c r="N255" s="66">
        <v>99.64</v>
      </c>
      <c r="O255" s="66">
        <v>120.88</v>
      </c>
      <c r="P255" s="65" t="s">
        <v>208</v>
      </c>
      <c r="Q255" s="66">
        <v>109.72</v>
      </c>
      <c r="R255" s="66">
        <v>110.76</v>
      </c>
      <c r="S255" s="66">
        <v>112.73</v>
      </c>
    </row>
    <row r="256" spans="1:19" x14ac:dyDescent="0.35">
      <c r="A256" s="76">
        <v>45903</v>
      </c>
      <c r="B256" s="65" t="s">
        <v>453</v>
      </c>
      <c r="C256" s="66">
        <v>65.67</v>
      </c>
      <c r="D256" s="66">
        <v>67.92</v>
      </c>
      <c r="E256" s="66">
        <v>39.81</v>
      </c>
      <c r="F256" s="66">
        <v>59.63</v>
      </c>
      <c r="G256" s="66">
        <v>69.040000000000006</v>
      </c>
      <c r="H256" s="66">
        <v>18.489999999999998</v>
      </c>
      <c r="I256" s="66">
        <v>61.35</v>
      </c>
      <c r="J256" s="66">
        <v>56.82</v>
      </c>
      <c r="K256" s="66">
        <v>79.349999999999994</v>
      </c>
      <c r="L256" s="66">
        <v>121.47</v>
      </c>
      <c r="M256" s="66">
        <v>69.03</v>
      </c>
      <c r="N256" s="66">
        <v>91.1</v>
      </c>
      <c r="O256" s="66">
        <v>80.98</v>
      </c>
      <c r="P256" s="65" t="s">
        <v>208</v>
      </c>
      <c r="Q256" s="66">
        <v>103.74</v>
      </c>
      <c r="R256" s="66">
        <v>84.8</v>
      </c>
      <c r="S256" s="66">
        <v>94</v>
      </c>
    </row>
    <row r="257" spans="1:19" x14ac:dyDescent="0.35">
      <c r="A257" s="76">
        <v>45904</v>
      </c>
      <c r="B257" s="65" t="s">
        <v>454</v>
      </c>
      <c r="C257" s="66">
        <v>87.61</v>
      </c>
      <c r="D257" s="66">
        <v>77.87</v>
      </c>
      <c r="E257" s="66">
        <v>54.51</v>
      </c>
      <c r="F257" s="66">
        <v>80.5</v>
      </c>
      <c r="G257" s="66">
        <v>81.69</v>
      </c>
      <c r="H257" s="66">
        <v>30.64</v>
      </c>
      <c r="I257" s="66">
        <v>69.599999999999994</v>
      </c>
      <c r="J257" s="66">
        <v>54.63</v>
      </c>
      <c r="K257" s="66">
        <v>96.57</v>
      </c>
      <c r="L257" s="66">
        <v>114.57</v>
      </c>
      <c r="M257" s="66">
        <v>75.040000000000006</v>
      </c>
      <c r="N257" s="66">
        <v>104.34</v>
      </c>
      <c r="O257" s="66">
        <v>94.49</v>
      </c>
      <c r="P257" s="65" t="s">
        <v>208</v>
      </c>
      <c r="Q257" s="66">
        <v>109.54</v>
      </c>
      <c r="R257" s="66">
        <v>99.13</v>
      </c>
      <c r="S257" s="66">
        <v>102.29</v>
      </c>
    </row>
    <row r="258" spans="1:19" x14ac:dyDescent="0.35">
      <c r="A258" s="76">
        <v>45905</v>
      </c>
      <c r="B258" s="65" t="s">
        <v>455</v>
      </c>
      <c r="C258" s="66">
        <v>99.92</v>
      </c>
      <c r="D258" s="66">
        <v>93.17</v>
      </c>
      <c r="E258" s="66">
        <v>84.37</v>
      </c>
      <c r="F258" s="66">
        <v>99.92</v>
      </c>
      <c r="G258" s="66">
        <v>99.91</v>
      </c>
      <c r="H258" s="66">
        <v>56.7</v>
      </c>
      <c r="I258" s="66">
        <v>93.14</v>
      </c>
      <c r="J258" s="66">
        <v>76.66</v>
      </c>
      <c r="K258" s="66">
        <v>100.63</v>
      </c>
      <c r="L258" s="66">
        <v>111.75</v>
      </c>
      <c r="M258" s="66">
        <v>96.86</v>
      </c>
      <c r="N258" s="66">
        <v>103.08</v>
      </c>
      <c r="O258" s="66">
        <v>101.88</v>
      </c>
      <c r="P258" s="65" t="s">
        <v>208</v>
      </c>
      <c r="Q258" s="66">
        <v>108.14</v>
      </c>
      <c r="R258" s="66">
        <v>102.72</v>
      </c>
      <c r="S258" s="66">
        <v>110.76</v>
      </c>
    </row>
    <row r="259" spans="1:19" x14ac:dyDescent="0.35">
      <c r="A259" s="76">
        <v>45906</v>
      </c>
      <c r="B259" s="65" t="s">
        <v>456</v>
      </c>
      <c r="C259" s="66">
        <v>75.45</v>
      </c>
      <c r="D259" s="66">
        <v>69.209999999999994</v>
      </c>
      <c r="E259" s="66">
        <v>53.17</v>
      </c>
      <c r="F259" s="66">
        <v>75.510000000000005</v>
      </c>
      <c r="G259" s="66">
        <v>75.94</v>
      </c>
      <c r="H259" s="66">
        <v>20.94</v>
      </c>
      <c r="I259" s="66">
        <v>69.290000000000006</v>
      </c>
      <c r="J259" s="66">
        <v>61.17</v>
      </c>
      <c r="K259" s="66">
        <v>75.569999999999993</v>
      </c>
      <c r="L259" s="66">
        <v>111.59</v>
      </c>
      <c r="M259" s="66">
        <v>66.63</v>
      </c>
      <c r="N259" s="66">
        <v>76.239999999999995</v>
      </c>
      <c r="O259" s="66">
        <v>75.209999999999994</v>
      </c>
      <c r="P259" s="65" t="s">
        <v>208</v>
      </c>
      <c r="Q259" s="66">
        <v>92.66</v>
      </c>
      <c r="R259" s="66">
        <v>78.400000000000006</v>
      </c>
      <c r="S259" s="66">
        <v>89.59</v>
      </c>
    </row>
    <row r="260" spans="1:19" x14ac:dyDescent="0.35">
      <c r="A260" s="76">
        <v>45907</v>
      </c>
      <c r="B260" s="65" t="s">
        <v>457</v>
      </c>
      <c r="C260" s="66">
        <v>42.13</v>
      </c>
      <c r="D260" s="66">
        <v>45.4</v>
      </c>
      <c r="E260" s="66">
        <v>24.34</v>
      </c>
      <c r="F260" s="66">
        <v>44.39</v>
      </c>
      <c r="G260" s="66">
        <v>53.43</v>
      </c>
      <c r="H260" s="66">
        <v>13.24</v>
      </c>
      <c r="I260" s="66">
        <v>38.659999999999997</v>
      </c>
      <c r="J260" s="66">
        <v>40.98</v>
      </c>
      <c r="K260" s="66">
        <v>45.08</v>
      </c>
      <c r="L260" s="66">
        <v>94.97</v>
      </c>
      <c r="M260" s="66">
        <v>46.97</v>
      </c>
      <c r="N260" s="66">
        <v>50.26</v>
      </c>
      <c r="O260" s="66">
        <v>47.11</v>
      </c>
      <c r="P260" s="65" t="s">
        <v>208</v>
      </c>
      <c r="Q260" s="66">
        <v>92.54</v>
      </c>
      <c r="R260" s="66">
        <v>46.81</v>
      </c>
      <c r="S260" s="66">
        <v>53.02</v>
      </c>
    </row>
    <row r="261" spans="1:19" x14ac:dyDescent="0.35">
      <c r="A261" s="76">
        <v>45908</v>
      </c>
      <c r="B261" s="65" t="s">
        <v>458</v>
      </c>
      <c r="C261" s="66">
        <v>123.56</v>
      </c>
      <c r="D261" s="66">
        <v>110.39</v>
      </c>
      <c r="E261" s="66">
        <v>99.73</v>
      </c>
      <c r="F261" s="66">
        <v>116</v>
      </c>
      <c r="G261" s="66">
        <v>123.64</v>
      </c>
      <c r="H261" s="66">
        <v>66.02</v>
      </c>
      <c r="I261" s="66">
        <v>118.99</v>
      </c>
      <c r="J261" s="66">
        <v>81.13</v>
      </c>
      <c r="K261" s="66">
        <v>123.98</v>
      </c>
      <c r="L261" s="66">
        <v>135.61000000000001</v>
      </c>
      <c r="M261" s="66">
        <v>119.46</v>
      </c>
      <c r="N261" s="66">
        <v>104.19</v>
      </c>
      <c r="O261" s="66">
        <v>125.5</v>
      </c>
      <c r="P261" s="65" t="s">
        <v>208</v>
      </c>
      <c r="Q261" s="66">
        <v>117.32</v>
      </c>
      <c r="R261" s="66">
        <v>124.7</v>
      </c>
      <c r="S261" s="66">
        <v>130.57</v>
      </c>
    </row>
    <row r="262" spans="1:19" x14ac:dyDescent="0.35">
      <c r="A262" s="76">
        <v>45909</v>
      </c>
      <c r="B262" s="65" t="s">
        <v>459</v>
      </c>
      <c r="C262" s="66">
        <v>142.44999999999999</v>
      </c>
      <c r="D262" s="66">
        <v>121.09</v>
      </c>
      <c r="E262" s="66">
        <v>104.1</v>
      </c>
      <c r="F262" s="66">
        <v>141.33000000000001</v>
      </c>
      <c r="G262" s="66">
        <v>142.29</v>
      </c>
      <c r="H262" s="66">
        <v>51.58</v>
      </c>
      <c r="I262" s="66">
        <v>134.9</v>
      </c>
      <c r="J262" s="66">
        <v>86.82</v>
      </c>
      <c r="K262" s="66">
        <v>139.13</v>
      </c>
      <c r="L262" s="66">
        <v>137.9</v>
      </c>
      <c r="M262" s="66">
        <v>136.31</v>
      </c>
      <c r="N262" s="66">
        <v>117.62</v>
      </c>
      <c r="O262" s="66">
        <v>140.01</v>
      </c>
      <c r="P262" s="65" t="s">
        <v>208</v>
      </c>
      <c r="Q262" s="66">
        <v>114.49</v>
      </c>
      <c r="R262" s="66">
        <v>138.86000000000001</v>
      </c>
      <c r="S262" s="66">
        <v>148.86000000000001</v>
      </c>
    </row>
    <row r="263" spans="1:19" x14ac:dyDescent="0.35">
      <c r="A263" s="76">
        <v>45910</v>
      </c>
      <c r="B263" s="65" t="s">
        <v>460</v>
      </c>
      <c r="C263" s="66">
        <v>125.95</v>
      </c>
      <c r="D263" s="66">
        <v>100.72</v>
      </c>
      <c r="E263" s="66">
        <v>84.16</v>
      </c>
      <c r="F263" s="66">
        <v>122.1</v>
      </c>
      <c r="G263" s="66">
        <v>124.35</v>
      </c>
      <c r="H263" s="66">
        <v>13.86</v>
      </c>
      <c r="I263" s="66">
        <v>115.45</v>
      </c>
      <c r="J263" s="66">
        <v>68.23</v>
      </c>
      <c r="K263" s="66">
        <v>121.42</v>
      </c>
      <c r="L263" s="66">
        <v>124.88</v>
      </c>
      <c r="M263" s="66">
        <v>95.18</v>
      </c>
      <c r="N263" s="66">
        <v>112.14</v>
      </c>
      <c r="O263" s="66">
        <v>126.13</v>
      </c>
      <c r="P263" s="65" t="s">
        <v>208</v>
      </c>
      <c r="Q263" s="66">
        <v>119.7</v>
      </c>
      <c r="R263" s="66">
        <v>119.8</v>
      </c>
      <c r="S263" s="66">
        <v>128.47999999999999</v>
      </c>
    </row>
    <row r="264" spans="1:19" x14ac:dyDescent="0.35">
      <c r="A264" s="76">
        <v>45911</v>
      </c>
      <c r="B264" s="65" t="s">
        <v>461</v>
      </c>
      <c r="C264" s="66">
        <v>72.180000000000007</v>
      </c>
      <c r="D264" s="66">
        <v>67.959999999999994</v>
      </c>
      <c r="E264" s="66">
        <v>38.549999999999997</v>
      </c>
      <c r="F264" s="66">
        <v>62.46</v>
      </c>
      <c r="G264" s="66">
        <v>72.38</v>
      </c>
      <c r="H264" s="66">
        <v>10.1</v>
      </c>
      <c r="I264" s="66">
        <v>65.709999999999994</v>
      </c>
      <c r="J264" s="66">
        <v>48.83</v>
      </c>
      <c r="K264" s="66">
        <v>92.25</v>
      </c>
      <c r="L264" s="66">
        <v>120.03</v>
      </c>
      <c r="M264" s="66">
        <v>46.91</v>
      </c>
      <c r="N264" s="66">
        <v>101.87</v>
      </c>
      <c r="O264" s="66">
        <v>88.52</v>
      </c>
      <c r="P264" s="65" t="s">
        <v>208</v>
      </c>
      <c r="Q264" s="66">
        <v>113</v>
      </c>
      <c r="R264" s="66">
        <v>105.49</v>
      </c>
      <c r="S264" s="66">
        <v>128.19999999999999</v>
      </c>
    </row>
    <row r="265" spans="1:19" x14ac:dyDescent="0.35">
      <c r="A265" s="76">
        <v>45912</v>
      </c>
      <c r="B265" s="65" t="s">
        <v>462</v>
      </c>
      <c r="C265" s="66">
        <v>54.13</v>
      </c>
      <c r="D265" s="66">
        <v>59.09</v>
      </c>
      <c r="E265" s="66">
        <v>32.869999999999997</v>
      </c>
      <c r="F265" s="66">
        <v>39.130000000000003</v>
      </c>
      <c r="G265" s="66">
        <v>48.07</v>
      </c>
      <c r="H265" s="66">
        <v>18.190000000000001</v>
      </c>
      <c r="I265" s="66">
        <v>47.4</v>
      </c>
      <c r="J265" s="66">
        <v>35.67</v>
      </c>
      <c r="K265" s="66">
        <v>91.03</v>
      </c>
      <c r="L265" s="66">
        <v>110.44</v>
      </c>
      <c r="M265" s="66">
        <v>41.99</v>
      </c>
      <c r="N265" s="66">
        <v>99.24</v>
      </c>
      <c r="O265" s="66">
        <v>85.93</v>
      </c>
      <c r="P265" s="65" t="s">
        <v>208</v>
      </c>
      <c r="Q265" s="66">
        <v>112.97</v>
      </c>
      <c r="R265" s="66">
        <v>100.33</v>
      </c>
      <c r="S265" s="66">
        <v>112.53</v>
      </c>
    </row>
    <row r="266" spans="1:19" x14ac:dyDescent="0.35">
      <c r="A266" s="76">
        <v>45913</v>
      </c>
      <c r="B266" s="65" t="s">
        <v>463</v>
      </c>
      <c r="C266" s="66">
        <v>60.96</v>
      </c>
      <c r="D266" s="66">
        <v>56.89</v>
      </c>
      <c r="E266" s="66">
        <v>35.49</v>
      </c>
      <c r="F266" s="66">
        <v>42.37</v>
      </c>
      <c r="G266" s="66">
        <v>60.88</v>
      </c>
      <c r="H266" s="66">
        <v>9.69</v>
      </c>
      <c r="I266" s="66">
        <v>54.57</v>
      </c>
      <c r="J266" s="66">
        <v>36.909999999999997</v>
      </c>
      <c r="K266" s="66">
        <v>66.239999999999995</v>
      </c>
      <c r="L266" s="66">
        <v>120.66</v>
      </c>
      <c r="M266" s="66">
        <v>39.75</v>
      </c>
      <c r="N266" s="66">
        <v>91.29</v>
      </c>
      <c r="O266" s="66">
        <v>67.89</v>
      </c>
      <c r="P266" s="65" t="s">
        <v>208</v>
      </c>
      <c r="Q266" s="66">
        <v>100.87</v>
      </c>
      <c r="R266" s="66">
        <v>66.849999999999994</v>
      </c>
      <c r="S266" s="66">
        <v>70.22</v>
      </c>
    </row>
    <row r="267" spans="1:19" x14ac:dyDescent="0.35">
      <c r="A267" s="76">
        <v>45914</v>
      </c>
      <c r="B267" s="65" t="s">
        <v>464</v>
      </c>
      <c r="C267" s="66">
        <v>71.72</v>
      </c>
      <c r="D267" s="66">
        <v>62.94</v>
      </c>
      <c r="E267" s="66">
        <v>41.02</v>
      </c>
      <c r="F267" s="66">
        <v>70.59</v>
      </c>
      <c r="G267" s="66">
        <v>72.849999999999994</v>
      </c>
      <c r="H267" s="66">
        <v>15.07</v>
      </c>
      <c r="I267" s="66">
        <v>64.44</v>
      </c>
      <c r="J267" s="66">
        <v>56.57</v>
      </c>
      <c r="K267" s="66">
        <v>66.430000000000007</v>
      </c>
      <c r="L267" s="66">
        <v>102.02</v>
      </c>
      <c r="M267" s="66">
        <v>56.8</v>
      </c>
      <c r="N267" s="66">
        <v>72.87</v>
      </c>
      <c r="O267" s="66">
        <v>73.72</v>
      </c>
      <c r="P267" s="65" t="s">
        <v>208</v>
      </c>
      <c r="Q267" s="66">
        <v>83.37</v>
      </c>
      <c r="R267" s="66">
        <v>65.569999999999993</v>
      </c>
      <c r="S267" s="66">
        <v>71.11</v>
      </c>
    </row>
    <row r="268" spans="1:19" x14ac:dyDescent="0.35">
      <c r="A268" s="76">
        <v>45915</v>
      </c>
      <c r="B268" s="65" t="s">
        <v>465</v>
      </c>
      <c r="C268" s="66">
        <v>8.83</v>
      </c>
      <c r="D268" s="66">
        <v>36.090000000000003</v>
      </c>
      <c r="E268" s="66">
        <v>4.24</v>
      </c>
      <c r="F268" s="66">
        <v>3.05</v>
      </c>
      <c r="G268" s="66">
        <v>12.99</v>
      </c>
      <c r="H268" s="66">
        <v>3.38</v>
      </c>
      <c r="I268" s="66">
        <v>8.99</v>
      </c>
      <c r="J268" s="66">
        <v>13.99</v>
      </c>
      <c r="K268" s="66">
        <v>67.98</v>
      </c>
      <c r="L268" s="66">
        <v>98.17</v>
      </c>
      <c r="M268" s="66">
        <v>13.7</v>
      </c>
      <c r="N268" s="66">
        <v>96.35</v>
      </c>
      <c r="O268" s="66">
        <v>74.13</v>
      </c>
      <c r="P268" s="65" t="s">
        <v>208</v>
      </c>
      <c r="Q268" s="66">
        <v>110.73</v>
      </c>
      <c r="R268" s="66">
        <v>74.58</v>
      </c>
      <c r="S268" s="66">
        <v>101.97</v>
      </c>
    </row>
    <row r="269" spans="1:19" x14ac:dyDescent="0.35">
      <c r="A269" s="76">
        <v>45916</v>
      </c>
      <c r="B269" s="65" t="s">
        <v>466</v>
      </c>
      <c r="C269" s="66">
        <v>19.52</v>
      </c>
      <c r="D269" s="66">
        <v>46.81</v>
      </c>
      <c r="E269" s="66">
        <v>24.35</v>
      </c>
      <c r="F269" s="66">
        <v>4</v>
      </c>
      <c r="G269" s="66">
        <v>24.35</v>
      </c>
      <c r="H269" s="66">
        <v>26.75</v>
      </c>
      <c r="I269" s="66">
        <v>26.98</v>
      </c>
      <c r="J269" s="66">
        <v>26.12</v>
      </c>
      <c r="K269" s="66">
        <v>90.63</v>
      </c>
      <c r="L269" s="66">
        <v>75.400000000000006</v>
      </c>
      <c r="M269" s="66">
        <v>20.190000000000001</v>
      </c>
      <c r="N269" s="66">
        <v>94.84</v>
      </c>
      <c r="O269" s="66">
        <v>101.34</v>
      </c>
      <c r="P269" s="65" t="s">
        <v>208</v>
      </c>
      <c r="Q269" s="66">
        <v>108.78</v>
      </c>
      <c r="R269" s="66">
        <v>108.29</v>
      </c>
      <c r="S269" s="66">
        <v>125.8</v>
      </c>
    </row>
    <row r="270" spans="1:19" x14ac:dyDescent="0.35">
      <c r="A270" s="76">
        <v>45917</v>
      </c>
      <c r="B270" s="65" t="s">
        <v>467</v>
      </c>
      <c r="C270" s="66">
        <v>75.34</v>
      </c>
      <c r="D270" s="66">
        <v>72.099999999999994</v>
      </c>
      <c r="E270" s="66">
        <v>76.150000000000006</v>
      </c>
      <c r="F270" s="66">
        <v>32.630000000000003</v>
      </c>
      <c r="G270" s="66">
        <v>68.02</v>
      </c>
      <c r="H270" s="66">
        <v>59.35</v>
      </c>
      <c r="I270" s="66">
        <v>82.66</v>
      </c>
      <c r="J270" s="66">
        <v>60.55</v>
      </c>
      <c r="K270" s="66">
        <v>77.81</v>
      </c>
      <c r="L270" s="66">
        <v>97.4</v>
      </c>
      <c r="M270" s="66">
        <v>61.04</v>
      </c>
      <c r="N270" s="66">
        <v>98.36</v>
      </c>
      <c r="O270" s="66">
        <v>79.099999999999994</v>
      </c>
      <c r="P270" s="65" t="s">
        <v>208</v>
      </c>
      <c r="Q270" s="66">
        <v>109.34</v>
      </c>
      <c r="R270" s="66">
        <v>80.790000000000006</v>
      </c>
      <c r="S270" s="66">
        <v>89.49</v>
      </c>
    </row>
    <row r="271" spans="1:19" x14ac:dyDescent="0.35">
      <c r="A271" s="76">
        <v>45918</v>
      </c>
      <c r="B271" s="65" t="s">
        <v>468</v>
      </c>
      <c r="C271" s="66">
        <v>65.73</v>
      </c>
      <c r="D271" s="66">
        <v>66.37</v>
      </c>
      <c r="E271" s="66">
        <v>59.5</v>
      </c>
      <c r="F271" s="66">
        <v>31.18</v>
      </c>
      <c r="G271" s="66">
        <v>63.01</v>
      </c>
      <c r="H271" s="66">
        <v>51.39</v>
      </c>
      <c r="I271" s="66">
        <v>63.18</v>
      </c>
      <c r="J271" s="66">
        <v>50.15</v>
      </c>
      <c r="K271" s="66">
        <v>73.34</v>
      </c>
      <c r="L271" s="66">
        <v>125.28</v>
      </c>
      <c r="M271" s="66">
        <v>49.85</v>
      </c>
      <c r="N271" s="66">
        <v>88.33</v>
      </c>
      <c r="O271" s="66">
        <v>74.87</v>
      </c>
      <c r="P271" s="65" t="s">
        <v>208</v>
      </c>
      <c r="Q271" s="66">
        <v>111.68</v>
      </c>
      <c r="R271" s="66">
        <v>74.73</v>
      </c>
      <c r="S271" s="66">
        <v>79.510000000000005</v>
      </c>
    </row>
    <row r="272" spans="1:19" x14ac:dyDescent="0.35">
      <c r="A272" s="76">
        <v>45919</v>
      </c>
      <c r="B272" s="65" t="s">
        <v>469</v>
      </c>
      <c r="C272" s="66">
        <v>96.48</v>
      </c>
      <c r="D272" s="66">
        <v>79.69</v>
      </c>
      <c r="E272" s="66">
        <v>84.15</v>
      </c>
      <c r="F272" s="66">
        <v>53.71</v>
      </c>
      <c r="G272" s="66">
        <v>94.55</v>
      </c>
      <c r="H272" s="66">
        <v>53.57</v>
      </c>
      <c r="I272" s="66">
        <v>94.93</v>
      </c>
      <c r="J272" s="66">
        <v>55.5</v>
      </c>
      <c r="K272" s="66">
        <v>96.28</v>
      </c>
      <c r="L272" s="66">
        <v>110.53</v>
      </c>
      <c r="M272" s="66">
        <v>32.71</v>
      </c>
      <c r="N272" s="66">
        <v>104.54</v>
      </c>
      <c r="O272" s="66">
        <v>96.1</v>
      </c>
      <c r="P272" s="65" t="s">
        <v>208</v>
      </c>
      <c r="Q272" s="66">
        <v>115.9</v>
      </c>
      <c r="R272" s="66">
        <v>93.96</v>
      </c>
      <c r="S272" s="66">
        <v>96.4</v>
      </c>
    </row>
    <row r="273" spans="1:19" x14ac:dyDescent="0.35">
      <c r="A273" s="76">
        <v>45920</v>
      </c>
      <c r="B273" s="65" t="s">
        <v>470</v>
      </c>
      <c r="C273" s="66">
        <v>58.71</v>
      </c>
      <c r="D273" s="66">
        <v>52.81</v>
      </c>
      <c r="E273" s="66">
        <v>49.03</v>
      </c>
      <c r="F273" s="66">
        <v>59.33</v>
      </c>
      <c r="G273" s="66">
        <v>59.5</v>
      </c>
      <c r="H273" s="66">
        <v>20</v>
      </c>
      <c r="I273" s="66">
        <v>58.36</v>
      </c>
      <c r="J273" s="66">
        <v>50.05</v>
      </c>
      <c r="K273" s="66">
        <v>58.98</v>
      </c>
      <c r="L273" s="66">
        <v>73.069999999999993</v>
      </c>
      <c r="M273" s="66">
        <v>13.85</v>
      </c>
      <c r="N273" s="66">
        <v>79.790000000000006</v>
      </c>
      <c r="O273" s="66">
        <v>58.98</v>
      </c>
      <c r="P273" s="65" t="s">
        <v>208</v>
      </c>
      <c r="Q273" s="66">
        <v>106.08</v>
      </c>
      <c r="R273" s="66">
        <v>63.17</v>
      </c>
      <c r="S273" s="66">
        <v>65.89</v>
      </c>
    </row>
    <row r="274" spans="1:19" x14ac:dyDescent="0.35">
      <c r="A274" s="76">
        <v>45921</v>
      </c>
      <c r="B274" s="65" t="s">
        <v>471</v>
      </c>
      <c r="C274" s="66">
        <v>32.18</v>
      </c>
      <c r="D274" s="66">
        <v>29.16</v>
      </c>
      <c r="E274" s="66">
        <v>28.68</v>
      </c>
      <c r="F274" s="66">
        <v>8.9</v>
      </c>
      <c r="G274" s="66">
        <v>29.44</v>
      </c>
      <c r="H274" s="66">
        <v>15.9</v>
      </c>
      <c r="I274" s="66">
        <v>31.99</v>
      </c>
      <c r="J274" s="66">
        <v>23.47</v>
      </c>
      <c r="K274" s="66">
        <v>29.61</v>
      </c>
      <c r="L274" s="66">
        <v>36.29</v>
      </c>
      <c r="M274" s="66">
        <v>5.28</v>
      </c>
      <c r="N274" s="66">
        <v>80.88</v>
      </c>
      <c r="O274" s="66">
        <v>30.38</v>
      </c>
      <c r="P274" s="65" t="s">
        <v>208</v>
      </c>
      <c r="Q274" s="66">
        <v>98.96</v>
      </c>
      <c r="R274" s="66">
        <v>30.77</v>
      </c>
      <c r="S274" s="66">
        <v>35.46</v>
      </c>
    </row>
    <row r="275" spans="1:19" x14ac:dyDescent="0.35">
      <c r="A275" s="76">
        <v>45922</v>
      </c>
      <c r="B275" s="65" t="s">
        <v>472</v>
      </c>
      <c r="C275" s="66">
        <v>97.5</v>
      </c>
      <c r="D275" s="66">
        <v>75.650000000000006</v>
      </c>
      <c r="E275" s="66">
        <v>66.709999999999994</v>
      </c>
      <c r="F275" s="66">
        <v>41.68</v>
      </c>
      <c r="G275" s="66">
        <v>94.88</v>
      </c>
      <c r="H275" s="66">
        <v>13.12</v>
      </c>
      <c r="I275" s="66">
        <v>91.82</v>
      </c>
      <c r="J275" s="66">
        <v>70.760000000000005</v>
      </c>
      <c r="K275" s="66">
        <v>100.55</v>
      </c>
      <c r="L275" s="66">
        <v>117.39</v>
      </c>
      <c r="M275" s="66">
        <v>31.92</v>
      </c>
      <c r="N275" s="66">
        <v>101.73</v>
      </c>
      <c r="O275" s="66">
        <v>101.54</v>
      </c>
      <c r="P275" s="65" t="s">
        <v>208</v>
      </c>
      <c r="Q275" s="66">
        <v>115.3</v>
      </c>
      <c r="R275" s="66">
        <v>92.33</v>
      </c>
      <c r="S275" s="66">
        <v>95.35</v>
      </c>
    </row>
    <row r="276" spans="1:19" x14ac:dyDescent="0.35">
      <c r="A276" s="76">
        <v>45923</v>
      </c>
      <c r="B276" s="65" t="s">
        <v>473</v>
      </c>
      <c r="C276" s="66">
        <v>103.09</v>
      </c>
      <c r="D276" s="66">
        <v>91.87</v>
      </c>
      <c r="E276" s="66">
        <v>94.35</v>
      </c>
      <c r="F276" s="66">
        <v>103.09</v>
      </c>
      <c r="G276" s="66">
        <v>102.94</v>
      </c>
      <c r="H276" s="66">
        <v>14.16</v>
      </c>
      <c r="I276" s="66">
        <v>102.77</v>
      </c>
      <c r="J276" s="66">
        <v>74.650000000000006</v>
      </c>
      <c r="K276" s="66">
        <v>107.57</v>
      </c>
      <c r="L276" s="66">
        <v>135.34</v>
      </c>
      <c r="M276" s="66">
        <v>61.45</v>
      </c>
      <c r="N276" s="66">
        <v>104.37</v>
      </c>
      <c r="O276" s="66">
        <v>109.86</v>
      </c>
      <c r="P276" s="65" t="s">
        <v>208</v>
      </c>
      <c r="Q276" s="66">
        <v>115.77</v>
      </c>
      <c r="R276" s="66">
        <v>110.98</v>
      </c>
      <c r="S276" s="66">
        <v>122.2</v>
      </c>
    </row>
    <row r="277" spans="1:19" x14ac:dyDescent="0.35">
      <c r="A277" s="76">
        <v>45924</v>
      </c>
      <c r="B277" s="65" t="s">
        <v>474</v>
      </c>
      <c r="C277" s="66">
        <v>79.19</v>
      </c>
      <c r="D277" s="66">
        <v>78.63</v>
      </c>
      <c r="E277" s="66">
        <v>67.72</v>
      </c>
      <c r="F277" s="66">
        <v>79.19</v>
      </c>
      <c r="G277" s="66">
        <v>83.2</v>
      </c>
      <c r="H277" s="66">
        <v>31.59</v>
      </c>
      <c r="I277" s="66">
        <v>74.98</v>
      </c>
      <c r="J277" s="66">
        <v>69.790000000000006</v>
      </c>
      <c r="K277" s="66">
        <v>103.64</v>
      </c>
      <c r="L277" s="66">
        <v>98.36</v>
      </c>
      <c r="M277" s="66">
        <v>79.59</v>
      </c>
      <c r="N277" s="66">
        <v>99.26</v>
      </c>
      <c r="O277" s="66">
        <v>77.64</v>
      </c>
      <c r="P277" s="65" t="s">
        <v>208</v>
      </c>
      <c r="Q277" s="66">
        <v>113.42</v>
      </c>
      <c r="R277" s="66">
        <v>103.11</v>
      </c>
      <c r="S277" s="66">
        <v>111.87</v>
      </c>
    </row>
    <row r="278" spans="1:19" x14ac:dyDescent="0.35">
      <c r="A278" s="76">
        <v>45925</v>
      </c>
      <c r="B278" s="65" t="s">
        <v>475</v>
      </c>
      <c r="C278" s="66">
        <v>81.81</v>
      </c>
      <c r="D278" s="66">
        <v>82.68</v>
      </c>
      <c r="E278" s="66">
        <v>77.290000000000006</v>
      </c>
      <c r="F278" s="66">
        <v>81.84</v>
      </c>
      <c r="G278" s="66">
        <v>81.900000000000006</v>
      </c>
      <c r="H278" s="66">
        <v>62.78</v>
      </c>
      <c r="I278" s="66">
        <v>75.900000000000006</v>
      </c>
      <c r="J278" s="66">
        <v>71.88</v>
      </c>
      <c r="K278" s="66">
        <v>98.89</v>
      </c>
      <c r="L278" s="66">
        <v>81.94</v>
      </c>
      <c r="M278" s="66">
        <v>80.86</v>
      </c>
      <c r="N278" s="66">
        <v>102.32</v>
      </c>
      <c r="O278" s="66">
        <v>93.88</v>
      </c>
      <c r="P278" s="65" t="s">
        <v>208</v>
      </c>
      <c r="Q278" s="66">
        <v>105.98</v>
      </c>
      <c r="R278" s="66">
        <v>99.43</v>
      </c>
      <c r="S278" s="66">
        <v>99.31</v>
      </c>
    </row>
    <row r="279" spans="1:19" x14ac:dyDescent="0.35">
      <c r="A279" s="76">
        <v>45926</v>
      </c>
      <c r="B279" s="65" t="s">
        <v>476</v>
      </c>
      <c r="C279" s="66">
        <v>94.96</v>
      </c>
      <c r="D279" s="66">
        <v>89.66</v>
      </c>
      <c r="E279" s="66">
        <v>92.78</v>
      </c>
      <c r="F279" s="66">
        <v>64.44</v>
      </c>
      <c r="G279" s="66">
        <v>92.47</v>
      </c>
      <c r="H279" s="66">
        <v>86.77</v>
      </c>
      <c r="I279" s="66">
        <v>94.1</v>
      </c>
      <c r="J279" s="66">
        <v>76.239999999999995</v>
      </c>
      <c r="K279" s="66">
        <v>102.09</v>
      </c>
      <c r="L279" s="66">
        <v>83.81</v>
      </c>
      <c r="M279" s="66">
        <v>85.06</v>
      </c>
      <c r="N279" s="66">
        <v>110.37</v>
      </c>
      <c r="O279" s="66">
        <v>98.14</v>
      </c>
      <c r="P279" s="65" t="s">
        <v>208</v>
      </c>
      <c r="Q279" s="66">
        <v>108.08</v>
      </c>
      <c r="R279" s="66">
        <v>101.59</v>
      </c>
      <c r="S279" s="66">
        <v>100.09</v>
      </c>
    </row>
    <row r="280" spans="1:19" x14ac:dyDescent="0.35">
      <c r="A280" s="76">
        <v>45927</v>
      </c>
      <c r="B280" s="65" t="s">
        <v>477</v>
      </c>
      <c r="C280" s="66">
        <v>92.8</v>
      </c>
      <c r="D280" s="66">
        <v>81.12</v>
      </c>
      <c r="E280" s="66">
        <v>79.36</v>
      </c>
      <c r="F280" s="66">
        <v>81.040000000000006</v>
      </c>
      <c r="G280" s="66">
        <v>89.83</v>
      </c>
      <c r="H280" s="66">
        <v>54.16</v>
      </c>
      <c r="I280" s="66">
        <v>88.04</v>
      </c>
      <c r="J280" s="66">
        <v>69.77</v>
      </c>
      <c r="K280" s="66">
        <v>93.82</v>
      </c>
      <c r="L280" s="66">
        <v>93.37</v>
      </c>
      <c r="M280" s="66">
        <v>52.62</v>
      </c>
      <c r="N280" s="66">
        <v>97.47</v>
      </c>
      <c r="O280" s="66">
        <v>92.9</v>
      </c>
      <c r="P280" s="65" t="s">
        <v>208</v>
      </c>
      <c r="Q280" s="66">
        <v>105.09</v>
      </c>
      <c r="R280" s="66">
        <v>93.69</v>
      </c>
      <c r="S280" s="66">
        <v>94.18</v>
      </c>
    </row>
    <row r="281" spans="1:19" x14ac:dyDescent="0.35">
      <c r="A281" s="76">
        <v>45928</v>
      </c>
      <c r="B281" s="65" t="s">
        <v>478</v>
      </c>
      <c r="C281" s="66">
        <v>87.18</v>
      </c>
      <c r="D281" s="66">
        <v>75.13</v>
      </c>
      <c r="E281" s="66">
        <v>73.819999999999993</v>
      </c>
      <c r="F281" s="66">
        <v>86.87</v>
      </c>
      <c r="G281" s="66">
        <v>86.91</v>
      </c>
      <c r="H281" s="66">
        <v>46.58</v>
      </c>
      <c r="I281" s="66">
        <v>83.2</v>
      </c>
      <c r="J281" s="66">
        <v>65.37</v>
      </c>
      <c r="K281" s="66">
        <v>85.08</v>
      </c>
      <c r="L281" s="66">
        <v>88.9</v>
      </c>
      <c r="M281" s="66">
        <v>39.92</v>
      </c>
      <c r="N281" s="66">
        <v>84.51</v>
      </c>
      <c r="O281" s="66">
        <v>85.32</v>
      </c>
      <c r="P281" s="65" t="s">
        <v>208</v>
      </c>
      <c r="Q281" s="66">
        <v>91.45</v>
      </c>
      <c r="R281" s="66">
        <v>87.03</v>
      </c>
      <c r="S281" s="66">
        <v>100.17</v>
      </c>
    </row>
    <row r="282" spans="1:19" x14ac:dyDescent="0.35">
      <c r="A282" s="76">
        <v>45929</v>
      </c>
      <c r="B282" s="65" t="s">
        <v>479</v>
      </c>
      <c r="C282" s="66">
        <v>130.57</v>
      </c>
      <c r="D282" s="66">
        <v>109.34</v>
      </c>
      <c r="E282" s="66">
        <v>99.34</v>
      </c>
      <c r="F282" s="66">
        <v>130.29</v>
      </c>
      <c r="G282" s="66">
        <v>130.38999999999999</v>
      </c>
      <c r="H282" s="66">
        <v>58.34</v>
      </c>
      <c r="I282" s="66">
        <v>119.48</v>
      </c>
      <c r="J282" s="66">
        <v>81.56</v>
      </c>
      <c r="K282" s="66">
        <v>131.53</v>
      </c>
      <c r="L282" s="66">
        <v>131.44</v>
      </c>
      <c r="M282" s="66">
        <v>82.41</v>
      </c>
      <c r="N282" s="66">
        <v>109.57</v>
      </c>
      <c r="O282" s="66">
        <v>128.38</v>
      </c>
      <c r="P282" s="65" t="s">
        <v>208</v>
      </c>
      <c r="Q282" s="66">
        <v>108.49</v>
      </c>
      <c r="R282" s="66">
        <v>130.97</v>
      </c>
      <c r="S282" s="66">
        <v>136.16999999999999</v>
      </c>
    </row>
    <row r="283" spans="1:19" x14ac:dyDescent="0.35">
      <c r="A283" s="76">
        <v>45930</v>
      </c>
      <c r="B283" s="65" t="s">
        <v>480</v>
      </c>
      <c r="C283" s="66">
        <v>136.16999999999999</v>
      </c>
      <c r="D283" s="66">
        <v>114.62</v>
      </c>
      <c r="E283" s="66">
        <v>98.56</v>
      </c>
      <c r="F283" s="66">
        <v>135.38999999999999</v>
      </c>
      <c r="G283" s="66">
        <v>136.06</v>
      </c>
      <c r="H283" s="66">
        <v>60.32</v>
      </c>
      <c r="I283" s="66">
        <v>123.26</v>
      </c>
      <c r="J283" s="66">
        <v>74.16</v>
      </c>
      <c r="K283" s="66">
        <v>140.74</v>
      </c>
      <c r="L283" s="66">
        <v>140.77000000000001</v>
      </c>
      <c r="M283" s="66">
        <v>102.91</v>
      </c>
      <c r="N283" s="66">
        <v>114.85</v>
      </c>
      <c r="O283" s="66">
        <v>133.77000000000001</v>
      </c>
      <c r="P283" s="65" t="s">
        <v>208</v>
      </c>
      <c r="Q283" s="66">
        <v>111.66</v>
      </c>
      <c r="R283" s="66">
        <v>150.19999999999999</v>
      </c>
      <c r="S283" s="66">
        <v>150.33000000000001</v>
      </c>
    </row>
    <row r="284" spans="1:19" x14ac:dyDescent="0.35">
      <c r="A284" s="76">
        <v>45931</v>
      </c>
      <c r="B284" s="65" t="s">
        <v>481</v>
      </c>
      <c r="C284" s="66">
        <v>116.57</v>
      </c>
      <c r="D284" s="66">
        <v>105.32</v>
      </c>
      <c r="E284" s="66">
        <v>100.17</v>
      </c>
      <c r="F284" s="66">
        <v>116.03</v>
      </c>
      <c r="G284" s="66">
        <v>116.59</v>
      </c>
      <c r="H284" s="66">
        <v>63.77</v>
      </c>
      <c r="I284" s="66">
        <v>111.34</v>
      </c>
      <c r="J284" s="66">
        <v>70.349999999999994</v>
      </c>
      <c r="K284" s="66">
        <v>120.75</v>
      </c>
      <c r="L284" s="66">
        <v>124.37</v>
      </c>
      <c r="M284" s="66">
        <v>106.84</v>
      </c>
      <c r="N284" s="66">
        <v>110.85</v>
      </c>
      <c r="O284" s="66">
        <v>117.49</v>
      </c>
      <c r="P284" s="65" t="s">
        <v>208</v>
      </c>
      <c r="Q284" s="66">
        <v>116.96</v>
      </c>
      <c r="R284" s="66">
        <v>121.57</v>
      </c>
      <c r="S284" s="66">
        <v>123.44</v>
      </c>
    </row>
    <row r="285" spans="1:19" x14ac:dyDescent="0.35">
      <c r="A285" s="76">
        <v>45932</v>
      </c>
      <c r="B285" s="65" t="s">
        <v>482</v>
      </c>
      <c r="C285" s="66">
        <v>102.7</v>
      </c>
      <c r="D285" s="66">
        <v>94.51</v>
      </c>
      <c r="E285" s="66">
        <v>84.85</v>
      </c>
      <c r="F285" s="66">
        <v>97.04</v>
      </c>
      <c r="G285" s="66">
        <v>103.07</v>
      </c>
      <c r="H285" s="66">
        <v>57.56</v>
      </c>
      <c r="I285" s="66">
        <v>95.35</v>
      </c>
      <c r="J285" s="66">
        <v>67.61</v>
      </c>
      <c r="K285" s="66">
        <v>111.14</v>
      </c>
      <c r="L285" s="66">
        <v>113.65</v>
      </c>
      <c r="M285" s="66">
        <v>101.44</v>
      </c>
      <c r="N285" s="66">
        <v>101.72</v>
      </c>
      <c r="O285" s="66">
        <v>106.16</v>
      </c>
      <c r="P285" s="65" t="s">
        <v>208</v>
      </c>
      <c r="Q285" s="66">
        <v>108.17</v>
      </c>
      <c r="R285" s="66">
        <v>111.01</v>
      </c>
      <c r="S285" s="66">
        <v>112.86</v>
      </c>
    </row>
    <row r="286" spans="1:19" x14ac:dyDescent="0.35">
      <c r="A286" s="76">
        <v>45933</v>
      </c>
      <c r="B286" s="65" t="s">
        <v>483</v>
      </c>
      <c r="C286" s="66">
        <v>66.760000000000005</v>
      </c>
      <c r="D286" s="66">
        <v>69.66</v>
      </c>
      <c r="E286" s="66">
        <v>59.52</v>
      </c>
      <c r="F286" s="66">
        <v>29</v>
      </c>
      <c r="G286" s="66">
        <v>66.39</v>
      </c>
      <c r="H286" s="66">
        <v>46.58</v>
      </c>
      <c r="I286" s="66">
        <v>72.349999999999994</v>
      </c>
      <c r="J286" s="66">
        <v>47.64</v>
      </c>
      <c r="K286" s="66">
        <v>92.78</v>
      </c>
      <c r="L286" s="66">
        <v>113.57</v>
      </c>
      <c r="M286" s="66">
        <v>59.03</v>
      </c>
      <c r="N286" s="66">
        <v>98.4</v>
      </c>
      <c r="O286" s="66">
        <v>81.03</v>
      </c>
      <c r="P286" s="65" t="s">
        <v>208</v>
      </c>
      <c r="Q286" s="66">
        <v>101.06</v>
      </c>
      <c r="R286" s="66">
        <v>92.76</v>
      </c>
      <c r="S286" s="66">
        <v>94.83</v>
      </c>
    </row>
    <row r="287" spans="1:19" x14ac:dyDescent="0.35">
      <c r="A287" s="76">
        <v>45934</v>
      </c>
      <c r="B287" s="65" t="s">
        <v>484</v>
      </c>
      <c r="C287" s="66">
        <v>-0.28999999999999998</v>
      </c>
      <c r="D287" s="66">
        <v>25.02</v>
      </c>
      <c r="E287" s="66">
        <v>0.16</v>
      </c>
      <c r="F287" s="66">
        <v>-0.04</v>
      </c>
      <c r="G287" s="66">
        <v>0.56000000000000005</v>
      </c>
      <c r="H287" s="66">
        <v>4.62</v>
      </c>
      <c r="I287" s="66">
        <v>-1.1100000000000001</v>
      </c>
      <c r="J287" s="66">
        <v>4.07</v>
      </c>
      <c r="K287" s="66">
        <v>83.68</v>
      </c>
      <c r="L287" s="66">
        <v>60.46</v>
      </c>
      <c r="M287" s="66">
        <v>0.53</v>
      </c>
      <c r="N287" s="66">
        <v>91.55</v>
      </c>
      <c r="O287" s="66">
        <v>30.78</v>
      </c>
      <c r="P287" s="65" t="s">
        <v>208</v>
      </c>
      <c r="Q287" s="66">
        <v>96.98</v>
      </c>
      <c r="R287" s="66">
        <v>91.73</v>
      </c>
      <c r="S287" s="66">
        <v>102.7</v>
      </c>
    </row>
    <row r="288" spans="1:19" x14ac:dyDescent="0.35">
      <c r="A288" s="76">
        <v>45935</v>
      </c>
      <c r="B288" s="65" t="s">
        <v>485</v>
      </c>
      <c r="C288" s="66">
        <v>1.73</v>
      </c>
      <c r="D288" s="66">
        <v>21.47</v>
      </c>
      <c r="E288" s="66">
        <v>7.48</v>
      </c>
      <c r="F288" s="66">
        <v>2.0699999999999998</v>
      </c>
      <c r="G288" s="66">
        <v>4.4400000000000004</v>
      </c>
      <c r="H288" s="66">
        <v>9.41</v>
      </c>
      <c r="I288" s="66">
        <v>7.51</v>
      </c>
      <c r="J288" s="66">
        <v>4.43</v>
      </c>
      <c r="K288" s="66">
        <v>61.16</v>
      </c>
      <c r="L288" s="66">
        <v>29.66</v>
      </c>
      <c r="M288" s="66">
        <v>4.3600000000000003</v>
      </c>
      <c r="N288" s="66">
        <v>73.47</v>
      </c>
      <c r="O288" s="66">
        <v>32.21</v>
      </c>
      <c r="P288" s="65" t="s">
        <v>208</v>
      </c>
      <c r="Q288" s="66">
        <v>78.23</v>
      </c>
      <c r="R288" s="66">
        <v>62.28</v>
      </c>
      <c r="S288" s="66">
        <v>73.489999999999995</v>
      </c>
    </row>
    <row r="289" spans="1:19" x14ac:dyDescent="0.35">
      <c r="A289" s="76">
        <v>45936</v>
      </c>
      <c r="B289" s="65" t="s">
        <v>486</v>
      </c>
      <c r="C289" s="66">
        <v>86.18</v>
      </c>
      <c r="D289" s="66">
        <v>86.05</v>
      </c>
      <c r="E289" s="66">
        <v>82.5</v>
      </c>
      <c r="F289" s="66">
        <v>81.42</v>
      </c>
      <c r="G289" s="66">
        <v>85.83</v>
      </c>
      <c r="H289" s="66">
        <v>69.739999999999995</v>
      </c>
      <c r="I289" s="66">
        <v>83.81</v>
      </c>
      <c r="J289" s="66">
        <v>62.94</v>
      </c>
      <c r="K289" s="66">
        <v>107.03</v>
      </c>
      <c r="L289" s="66">
        <v>92.46</v>
      </c>
      <c r="M289" s="66">
        <v>87</v>
      </c>
      <c r="N289" s="66">
        <v>99.66</v>
      </c>
      <c r="O289" s="66">
        <v>94.18</v>
      </c>
      <c r="P289" s="65" t="s">
        <v>208</v>
      </c>
      <c r="Q289" s="66">
        <v>101.44</v>
      </c>
      <c r="R289" s="66">
        <v>113.14</v>
      </c>
      <c r="S289" s="66">
        <v>134.88</v>
      </c>
    </row>
    <row r="290" spans="1:19" x14ac:dyDescent="0.35">
      <c r="A290" s="76">
        <v>45937</v>
      </c>
      <c r="B290" s="65" t="s">
        <v>487</v>
      </c>
      <c r="C290" s="66">
        <v>137.96</v>
      </c>
      <c r="D290" s="66">
        <v>120.48</v>
      </c>
      <c r="E290" s="66">
        <v>117.72</v>
      </c>
      <c r="F290" s="66">
        <v>135.13999999999999</v>
      </c>
      <c r="G290" s="66">
        <v>137.74</v>
      </c>
      <c r="H290" s="66">
        <v>89.03</v>
      </c>
      <c r="I290" s="66">
        <v>129.99</v>
      </c>
      <c r="J290" s="66">
        <v>79.63</v>
      </c>
      <c r="K290" s="66">
        <v>137.18</v>
      </c>
      <c r="L290" s="66">
        <v>140.30000000000001</v>
      </c>
      <c r="M290" s="66">
        <v>108.44</v>
      </c>
      <c r="N290" s="66">
        <v>111.56</v>
      </c>
      <c r="O290" s="66">
        <v>138.54</v>
      </c>
      <c r="P290" s="65" t="s">
        <v>208</v>
      </c>
      <c r="Q290" s="66">
        <v>116.74</v>
      </c>
      <c r="R290" s="66">
        <v>136.75</v>
      </c>
      <c r="S290" s="66">
        <v>138.18</v>
      </c>
    </row>
    <row r="291" spans="1:19" x14ac:dyDescent="0.35">
      <c r="A291" s="76">
        <v>45938</v>
      </c>
      <c r="B291" s="65" t="s">
        <v>488</v>
      </c>
      <c r="C291" s="66">
        <v>117.58</v>
      </c>
      <c r="D291" s="66">
        <v>106.71</v>
      </c>
      <c r="E291" s="66">
        <v>109.84</v>
      </c>
      <c r="F291" s="66">
        <v>116.67</v>
      </c>
      <c r="G291" s="66">
        <v>117.28</v>
      </c>
      <c r="H291" s="66">
        <v>95.45</v>
      </c>
      <c r="I291" s="66">
        <v>115</v>
      </c>
      <c r="J291" s="66">
        <v>71.14</v>
      </c>
      <c r="K291" s="66">
        <v>117.92</v>
      </c>
      <c r="L291" s="66">
        <v>124.32</v>
      </c>
      <c r="M291" s="66">
        <v>74.23</v>
      </c>
      <c r="N291" s="66">
        <v>114.54</v>
      </c>
      <c r="O291" s="66">
        <v>117.38</v>
      </c>
      <c r="P291" s="65" t="s">
        <v>208</v>
      </c>
      <c r="Q291" s="66">
        <v>118.81</v>
      </c>
      <c r="R291" s="66">
        <v>118.14</v>
      </c>
      <c r="S291" s="66">
        <v>120.51</v>
      </c>
    </row>
    <row r="292" spans="1:19" x14ac:dyDescent="0.35">
      <c r="A292" s="76">
        <v>45939</v>
      </c>
      <c r="B292" s="65" t="s">
        <v>489</v>
      </c>
      <c r="C292" s="66">
        <v>104.91</v>
      </c>
      <c r="D292" s="66">
        <v>94.08</v>
      </c>
      <c r="E292" s="66">
        <v>99.27</v>
      </c>
      <c r="F292" s="66">
        <v>85.61</v>
      </c>
      <c r="G292" s="66">
        <v>88.17</v>
      </c>
      <c r="H292" s="66">
        <v>83.48</v>
      </c>
      <c r="I292" s="66">
        <v>102.19</v>
      </c>
      <c r="J292" s="66">
        <v>65.14</v>
      </c>
      <c r="K292" s="66">
        <v>111</v>
      </c>
      <c r="L292" s="66">
        <v>112.7</v>
      </c>
      <c r="M292" s="66">
        <v>68.040000000000006</v>
      </c>
      <c r="N292" s="66">
        <v>114.45</v>
      </c>
      <c r="O292" s="66">
        <v>104.79</v>
      </c>
      <c r="P292" s="65" t="s">
        <v>208</v>
      </c>
      <c r="Q292" s="66">
        <v>124.59</v>
      </c>
      <c r="R292" s="66">
        <v>116.71</v>
      </c>
      <c r="S292" s="66">
        <v>129.09</v>
      </c>
    </row>
    <row r="293" spans="1:19" x14ac:dyDescent="0.35">
      <c r="A293" s="76">
        <v>45940</v>
      </c>
      <c r="B293" s="65" t="s">
        <v>490</v>
      </c>
      <c r="C293" s="66">
        <v>96.41</v>
      </c>
      <c r="D293" s="66">
        <v>80.2</v>
      </c>
      <c r="E293" s="66">
        <v>93.97</v>
      </c>
      <c r="F293" s="66">
        <v>63.74</v>
      </c>
      <c r="G293" s="66">
        <v>63.46</v>
      </c>
      <c r="H293" s="66">
        <v>83.05</v>
      </c>
      <c r="I293" s="66">
        <v>95.17</v>
      </c>
      <c r="J293" s="66">
        <v>56.48</v>
      </c>
      <c r="K293" s="66">
        <v>102.33</v>
      </c>
      <c r="L293" s="66">
        <v>93.85</v>
      </c>
      <c r="M293" s="66">
        <v>29.19</v>
      </c>
      <c r="N293" s="66">
        <v>107.75</v>
      </c>
      <c r="O293" s="66">
        <v>93.24</v>
      </c>
      <c r="P293" s="65" t="s">
        <v>208</v>
      </c>
      <c r="Q293" s="66">
        <v>119.77</v>
      </c>
      <c r="R293" s="66">
        <v>110.32</v>
      </c>
      <c r="S293" s="66">
        <v>132.63</v>
      </c>
    </row>
    <row r="294" spans="1:19" x14ac:dyDescent="0.35">
      <c r="A294" s="76">
        <v>45941</v>
      </c>
      <c r="B294" s="65" t="s">
        <v>491</v>
      </c>
      <c r="C294" s="66">
        <v>90.69</v>
      </c>
      <c r="D294" s="66">
        <v>79.739999999999995</v>
      </c>
      <c r="E294" s="66">
        <v>91.52</v>
      </c>
      <c r="F294" s="66">
        <v>76.48</v>
      </c>
      <c r="G294" s="66">
        <v>76.06</v>
      </c>
      <c r="H294" s="66">
        <v>68.48</v>
      </c>
      <c r="I294" s="66">
        <v>96.32</v>
      </c>
      <c r="J294" s="66">
        <v>63.27</v>
      </c>
      <c r="K294" s="66">
        <v>92.13</v>
      </c>
      <c r="L294" s="66">
        <v>103.38</v>
      </c>
      <c r="M294" s="66">
        <v>24.14</v>
      </c>
      <c r="N294" s="66">
        <v>94.01</v>
      </c>
      <c r="O294" s="66">
        <v>91.38</v>
      </c>
      <c r="P294" s="65" t="s">
        <v>208</v>
      </c>
      <c r="Q294" s="66">
        <v>100.28</v>
      </c>
      <c r="R294" s="66">
        <v>92.3</v>
      </c>
      <c r="S294" s="66">
        <v>92.94</v>
      </c>
    </row>
    <row r="295" spans="1:19" x14ac:dyDescent="0.35">
      <c r="A295" s="76">
        <v>45942</v>
      </c>
      <c r="B295" s="65" t="s">
        <v>492</v>
      </c>
      <c r="C295" s="66">
        <v>89.19</v>
      </c>
      <c r="D295" s="66">
        <v>77.61</v>
      </c>
      <c r="E295" s="66">
        <v>83.95</v>
      </c>
      <c r="F295" s="66">
        <v>83.11</v>
      </c>
      <c r="G295" s="66">
        <v>82.75</v>
      </c>
      <c r="H295" s="66">
        <v>60.08</v>
      </c>
      <c r="I295" s="66">
        <v>89.73</v>
      </c>
      <c r="J295" s="66">
        <v>67.709999999999994</v>
      </c>
      <c r="K295" s="66">
        <v>92.51</v>
      </c>
      <c r="L295" s="66">
        <v>94.71</v>
      </c>
      <c r="M295" s="66">
        <v>18.04</v>
      </c>
      <c r="N295" s="66">
        <v>92.24</v>
      </c>
      <c r="O295" s="66">
        <v>88.89</v>
      </c>
      <c r="P295" s="65" t="s">
        <v>208</v>
      </c>
      <c r="Q295" s="66">
        <v>104.84</v>
      </c>
      <c r="R295" s="66">
        <v>94.24</v>
      </c>
      <c r="S295" s="66">
        <v>102.01</v>
      </c>
    </row>
    <row r="296" spans="1:19" x14ac:dyDescent="0.35">
      <c r="A296" s="76">
        <v>45943</v>
      </c>
      <c r="B296" s="65" t="s">
        <v>493</v>
      </c>
      <c r="C296" s="66">
        <v>139.05000000000001</v>
      </c>
      <c r="D296" s="66">
        <v>119.6</v>
      </c>
      <c r="E296" s="66">
        <v>109.55</v>
      </c>
      <c r="F296" s="66">
        <v>137.18</v>
      </c>
      <c r="G296" s="66">
        <v>138.93</v>
      </c>
      <c r="H296" s="66">
        <v>78.52</v>
      </c>
      <c r="I296" s="66">
        <v>126.46</v>
      </c>
      <c r="J296" s="66">
        <v>76.349999999999994</v>
      </c>
      <c r="K296" s="66">
        <v>140.91</v>
      </c>
      <c r="L296" s="66">
        <v>136.66999999999999</v>
      </c>
      <c r="M296" s="66">
        <v>114.18</v>
      </c>
      <c r="N296" s="66">
        <v>121.71</v>
      </c>
      <c r="O296" s="66">
        <v>135.1</v>
      </c>
      <c r="P296" s="65" t="s">
        <v>208</v>
      </c>
      <c r="Q296" s="66">
        <v>123.46</v>
      </c>
      <c r="R296" s="66">
        <v>147.93</v>
      </c>
      <c r="S296" s="66">
        <v>172.15</v>
      </c>
    </row>
    <row r="297" spans="1:19" x14ac:dyDescent="0.35">
      <c r="A297" s="76">
        <v>45944</v>
      </c>
      <c r="B297" s="65" t="s">
        <v>494</v>
      </c>
      <c r="C297" s="66">
        <v>156.13999999999999</v>
      </c>
      <c r="D297" s="66">
        <v>141.47999999999999</v>
      </c>
      <c r="E297" s="66">
        <v>120.86</v>
      </c>
      <c r="F297" s="66">
        <v>155.85</v>
      </c>
      <c r="G297" s="66">
        <v>167.56</v>
      </c>
      <c r="H297" s="66">
        <v>95.11</v>
      </c>
      <c r="I297" s="66">
        <v>144.58000000000001</v>
      </c>
      <c r="J297" s="66">
        <v>97.61</v>
      </c>
      <c r="K297" s="66">
        <v>162.22999999999999</v>
      </c>
      <c r="L297" s="66">
        <v>164.87</v>
      </c>
      <c r="M297" s="66">
        <v>168.83</v>
      </c>
      <c r="N297" s="66">
        <v>121.51</v>
      </c>
      <c r="O297" s="66">
        <v>157.22999999999999</v>
      </c>
      <c r="P297" s="65" t="s">
        <v>208</v>
      </c>
      <c r="Q297" s="66">
        <v>124.33</v>
      </c>
      <c r="R297" s="66">
        <v>167.06</v>
      </c>
      <c r="S297" s="66">
        <v>190.63</v>
      </c>
    </row>
    <row r="298" spans="1:19" x14ac:dyDescent="0.35">
      <c r="A298" s="76">
        <v>45945</v>
      </c>
      <c r="B298" s="65" t="s">
        <v>495</v>
      </c>
      <c r="C298" s="66">
        <v>145.72</v>
      </c>
      <c r="D298" s="66">
        <v>126.41</v>
      </c>
      <c r="E298" s="66">
        <v>117.2</v>
      </c>
      <c r="F298" s="66">
        <v>136.44</v>
      </c>
      <c r="G298" s="66">
        <v>145.35</v>
      </c>
      <c r="H298" s="66">
        <v>89.86</v>
      </c>
      <c r="I298" s="66">
        <v>131.26</v>
      </c>
      <c r="J298" s="66">
        <v>72.95</v>
      </c>
      <c r="K298" s="66">
        <v>157.54</v>
      </c>
      <c r="L298" s="66">
        <v>145.94999999999999</v>
      </c>
      <c r="M298" s="66">
        <v>126.35</v>
      </c>
      <c r="N298" s="66">
        <v>124.7</v>
      </c>
      <c r="O298" s="66">
        <v>142.88</v>
      </c>
      <c r="P298" s="65" t="s">
        <v>208</v>
      </c>
      <c r="Q298" s="66">
        <v>127.96</v>
      </c>
      <c r="R298" s="66">
        <v>162.13999999999999</v>
      </c>
      <c r="S298" s="66">
        <v>185.23</v>
      </c>
    </row>
    <row r="299" spans="1:19" x14ac:dyDescent="0.35">
      <c r="A299" s="76">
        <v>45946</v>
      </c>
      <c r="B299" s="65" t="s">
        <v>496</v>
      </c>
      <c r="C299" s="66">
        <v>100</v>
      </c>
      <c r="D299" s="66">
        <v>98.33</v>
      </c>
      <c r="E299" s="66">
        <v>95.55</v>
      </c>
      <c r="F299" s="66">
        <v>93.29</v>
      </c>
      <c r="G299" s="66">
        <v>98.43</v>
      </c>
      <c r="H299" s="66">
        <v>86.4</v>
      </c>
      <c r="I299" s="66">
        <v>96.26</v>
      </c>
      <c r="J299" s="66">
        <v>68.14</v>
      </c>
      <c r="K299" s="66">
        <v>114.27</v>
      </c>
      <c r="L299" s="66">
        <v>115.22</v>
      </c>
      <c r="M299" s="66">
        <v>93.89</v>
      </c>
      <c r="N299" s="66">
        <v>117.74</v>
      </c>
      <c r="O299" s="66">
        <v>102.49</v>
      </c>
      <c r="P299" s="65" t="s">
        <v>208</v>
      </c>
      <c r="Q299" s="66">
        <v>122.09</v>
      </c>
      <c r="R299" s="66">
        <v>116.7</v>
      </c>
      <c r="S299" s="66">
        <v>126.45</v>
      </c>
    </row>
    <row r="300" spans="1:19" x14ac:dyDescent="0.35">
      <c r="A300" s="76">
        <v>45947</v>
      </c>
      <c r="B300" s="65" t="s">
        <v>497</v>
      </c>
      <c r="C300" s="66">
        <v>104.41</v>
      </c>
      <c r="D300" s="66">
        <v>101.41</v>
      </c>
      <c r="E300" s="66">
        <v>100.39</v>
      </c>
      <c r="F300" s="66">
        <v>101.89</v>
      </c>
      <c r="G300" s="66">
        <v>103.79</v>
      </c>
      <c r="H300" s="66">
        <v>91.51</v>
      </c>
      <c r="I300" s="66">
        <v>101.94</v>
      </c>
      <c r="J300" s="66">
        <v>71.16</v>
      </c>
      <c r="K300" s="66">
        <v>114.83</v>
      </c>
      <c r="L300" s="66">
        <v>122.44</v>
      </c>
      <c r="M300" s="66">
        <v>85.29</v>
      </c>
      <c r="N300" s="66">
        <v>114.55</v>
      </c>
      <c r="O300" s="66">
        <v>107.74</v>
      </c>
      <c r="P300" s="65" t="s">
        <v>208</v>
      </c>
      <c r="Q300" s="66">
        <v>117.19</v>
      </c>
      <c r="R300" s="66">
        <v>117.14</v>
      </c>
      <c r="S300" s="66">
        <v>124.88</v>
      </c>
    </row>
    <row r="301" spans="1:19" x14ac:dyDescent="0.35">
      <c r="A301" s="76">
        <v>45948</v>
      </c>
      <c r="B301" s="65" t="s">
        <v>498</v>
      </c>
      <c r="C301" s="66">
        <v>95.74</v>
      </c>
      <c r="D301" s="66">
        <v>89.72</v>
      </c>
      <c r="E301" s="66">
        <v>88.9</v>
      </c>
      <c r="F301" s="66">
        <v>95.53</v>
      </c>
      <c r="G301" s="66">
        <v>95.59</v>
      </c>
      <c r="H301" s="66">
        <v>75.89</v>
      </c>
      <c r="I301" s="66">
        <v>92.26</v>
      </c>
      <c r="J301" s="66">
        <v>74.06</v>
      </c>
      <c r="K301" s="66">
        <v>105.82</v>
      </c>
      <c r="L301" s="66">
        <v>93.95</v>
      </c>
      <c r="M301" s="66">
        <v>69.17</v>
      </c>
      <c r="N301" s="66">
        <v>102.98</v>
      </c>
      <c r="O301" s="66">
        <v>92.81</v>
      </c>
      <c r="P301" s="65" t="s">
        <v>208</v>
      </c>
      <c r="Q301" s="66">
        <v>111.23</v>
      </c>
      <c r="R301" s="66">
        <v>108.71</v>
      </c>
      <c r="S301" s="66">
        <v>121.13</v>
      </c>
    </row>
    <row r="302" spans="1:19" x14ac:dyDescent="0.35">
      <c r="A302" s="76">
        <v>45949</v>
      </c>
      <c r="B302" s="65" t="s">
        <v>499</v>
      </c>
      <c r="C302" s="66">
        <v>75.349999999999994</v>
      </c>
      <c r="D302" s="66">
        <v>73.2</v>
      </c>
      <c r="E302" s="66">
        <v>63.34</v>
      </c>
      <c r="F302" s="66">
        <v>69.45</v>
      </c>
      <c r="G302" s="66">
        <v>74.12</v>
      </c>
      <c r="H302" s="66">
        <v>34.19</v>
      </c>
      <c r="I302" s="66">
        <v>69.849999999999994</v>
      </c>
      <c r="J302" s="66">
        <v>62.74</v>
      </c>
      <c r="K302" s="66">
        <v>90.53</v>
      </c>
      <c r="L302" s="66">
        <v>100.1</v>
      </c>
      <c r="M302" s="66">
        <v>63.57</v>
      </c>
      <c r="N302" s="66">
        <v>96.83</v>
      </c>
      <c r="O302" s="66">
        <v>80.430000000000007</v>
      </c>
      <c r="P302" s="65" t="s">
        <v>208</v>
      </c>
      <c r="Q302" s="66">
        <v>101.45</v>
      </c>
      <c r="R302" s="66">
        <v>93.23</v>
      </c>
      <c r="S302" s="66">
        <v>100.64</v>
      </c>
    </row>
    <row r="303" spans="1:19" x14ac:dyDescent="0.35">
      <c r="A303" s="76">
        <v>45950</v>
      </c>
      <c r="B303" s="65" t="s">
        <v>500</v>
      </c>
      <c r="C303" s="66">
        <v>82.26</v>
      </c>
      <c r="D303" s="66">
        <v>76.56</v>
      </c>
      <c r="E303" s="66">
        <v>63.65</v>
      </c>
      <c r="F303" s="66">
        <v>66.7</v>
      </c>
      <c r="G303" s="66">
        <v>71.22</v>
      </c>
      <c r="H303" s="66">
        <v>32.81</v>
      </c>
      <c r="I303" s="66">
        <v>78.03</v>
      </c>
      <c r="J303" s="66">
        <v>62.86</v>
      </c>
      <c r="K303" s="66">
        <v>109.41</v>
      </c>
      <c r="L303" s="66">
        <v>94.33</v>
      </c>
      <c r="M303" s="66">
        <v>58.55</v>
      </c>
      <c r="N303" s="66">
        <v>114.41</v>
      </c>
      <c r="O303" s="66">
        <v>90.23</v>
      </c>
      <c r="P303" s="65" t="s">
        <v>208</v>
      </c>
      <c r="Q303" s="66">
        <v>121.9</v>
      </c>
      <c r="R303" s="66">
        <v>120.26</v>
      </c>
      <c r="S303" s="66">
        <v>161.16</v>
      </c>
    </row>
    <row r="304" spans="1:19" x14ac:dyDescent="0.35">
      <c r="A304" s="76">
        <v>45951</v>
      </c>
      <c r="B304" s="65" t="s">
        <v>501</v>
      </c>
      <c r="C304" s="66">
        <v>67.81</v>
      </c>
      <c r="D304" s="66">
        <v>72.510000000000005</v>
      </c>
      <c r="E304" s="66">
        <v>59.91</v>
      </c>
      <c r="F304" s="66">
        <v>58.68</v>
      </c>
      <c r="G304" s="66">
        <v>59.24</v>
      </c>
      <c r="H304" s="66">
        <v>56.66</v>
      </c>
      <c r="I304" s="66">
        <v>65</v>
      </c>
      <c r="J304" s="66">
        <v>56.28</v>
      </c>
      <c r="K304" s="66">
        <v>124.96</v>
      </c>
      <c r="L304" s="66">
        <v>85.98</v>
      </c>
      <c r="M304" s="66">
        <v>27.11</v>
      </c>
      <c r="N304" s="66">
        <v>116.9</v>
      </c>
      <c r="O304" s="66">
        <v>86.9</v>
      </c>
      <c r="P304" s="65" t="s">
        <v>208</v>
      </c>
      <c r="Q304" s="66">
        <v>128.4</v>
      </c>
      <c r="R304" s="66">
        <v>128.29</v>
      </c>
      <c r="S304" s="66">
        <v>152.24</v>
      </c>
    </row>
    <row r="305" spans="1:19" x14ac:dyDescent="0.35">
      <c r="A305" s="76">
        <v>45952</v>
      </c>
      <c r="B305" s="65" t="s">
        <v>502</v>
      </c>
      <c r="C305" s="66">
        <v>125.07</v>
      </c>
      <c r="D305" s="66">
        <v>105.31</v>
      </c>
      <c r="E305" s="66">
        <v>106.82</v>
      </c>
      <c r="F305" s="66">
        <v>109.69</v>
      </c>
      <c r="G305" s="66">
        <v>114.98</v>
      </c>
      <c r="H305" s="66">
        <v>67.069999999999993</v>
      </c>
      <c r="I305" s="66">
        <v>115.81</v>
      </c>
      <c r="J305" s="66">
        <v>69.34</v>
      </c>
      <c r="K305" s="66">
        <v>134.61000000000001</v>
      </c>
      <c r="L305" s="66">
        <v>136.15</v>
      </c>
      <c r="M305" s="66">
        <v>49.61</v>
      </c>
      <c r="N305" s="66">
        <v>124.81</v>
      </c>
      <c r="O305" s="66">
        <v>129.46</v>
      </c>
      <c r="P305" s="65" t="s">
        <v>208</v>
      </c>
      <c r="Q305" s="66">
        <v>128.53</v>
      </c>
      <c r="R305" s="66">
        <v>134.99</v>
      </c>
      <c r="S305" s="66">
        <v>137.59</v>
      </c>
    </row>
    <row r="306" spans="1:19" x14ac:dyDescent="0.35">
      <c r="A306" s="76">
        <v>45953</v>
      </c>
      <c r="B306" s="65" t="s">
        <v>503</v>
      </c>
      <c r="C306" s="66">
        <v>82.27</v>
      </c>
      <c r="D306" s="66">
        <v>81.48</v>
      </c>
      <c r="E306" s="66">
        <v>62.78</v>
      </c>
      <c r="F306" s="66">
        <v>80.599999999999994</v>
      </c>
      <c r="G306" s="66">
        <v>85.62</v>
      </c>
      <c r="H306" s="66">
        <v>10.45</v>
      </c>
      <c r="I306" s="66">
        <v>83.39</v>
      </c>
      <c r="J306" s="66">
        <v>70.91</v>
      </c>
      <c r="K306" s="66">
        <v>111.85</v>
      </c>
      <c r="L306" s="66">
        <v>115.06</v>
      </c>
      <c r="M306" s="66">
        <v>64.709999999999994</v>
      </c>
      <c r="N306" s="66">
        <v>114.91</v>
      </c>
      <c r="O306" s="66">
        <v>96.04</v>
      </c>
      <c r="P306" s="65" t="s">
        <v>208</v>
      </c>
      <c r="Q306" s="66">
        <v>119.49</v>
      </c>
      <c r="R306" s="66">
        <v>109.83</v>
      </c>
      <c r="S306" s="66">
        <v>112.14</v>
      </c>
    </row>
    <row r="307" spans="1:19" x14ac:dyDescent="0.35">
      <c r="A307" s="76">
        <v>45954</v>
      </c>
      <c r="B307" s="65" t="s">
        <v>504</v>
      </c>
      <c r="C307" s="66">
        <v>32.32</v>
      </c>
      <c r="D307" s="66">
        <v>60.86</v>
      </c>
      <c r="E307" s="66">
        <v>35.24</v>
      </c>
      <c r="F307" s="66">
        <v>38.020000000000003</v>
      </c>
      <c r="G307" s="66">
        <v>38.01</v>
      </c>
      <c r="H307" s="66">
        <v>37.42</v>
      </c>
      <c r="I307" s="66">
        <v>35.86</v>
      </c>
      <c r="J307" s="66">
        <v>38.369999999999997</v>
      </c>
      <c r="K307" s="66">
        <v>98.39</v>
      </c>
      <c r="L307" s="66">
        <v>109.23</v>
      </c>
      <c r="M307" s="66">
        <v>37.119999999999997</v>
      </c>
      <c r="N307" s="66">
        <v>104.45</v>
      </c>
      <c r="O307" s="66">
        <v>97.38</v>
      </c>
      <c r="P307" s="65" t="s">
        <v>208</v>
      </c>
      <c r="Q307" s="66">
        <v>106.02</v>
      </c>
      <c r="R307" s="66">
        <v>92</v>
      </c>
      <c r="S307" s="66">
        <v>98.85</v>
      </c>
    </row>
    <row r="308" spans="1:19" x14ac:dyDescent="0.35">
      <c r="A308" s="76">
        <v>45955</v>
      </c>
      <c r="B308" s="65" t="s">
        <v>505</v>
      </c>
      <c r="C308" s="66">
        <v>11.22</v>
      </c>
      <c r="D308" s="66">
        <v>38.380000000000003</v>
      </c>
      <c r="E308" s="66">
        <v>14.57</v>
      </c>
      <c r="F308" s="66">
        <v>12.23</v>
      </c>
      <c r="G308" s="66">
        <v>11.58</v>
      </c>
      <c r="H308" s="66">
        <v>17.32</v>
      </c>
      <c r="I308" s="66">
        <v>15.33</v>
      </c>
      <c r="J308" s="66">
        <v>21.25</v>
      </c>
      <c r="K308" s="66">
        <v>89.87</v>
      </c>
      <c r="L308" s="66">
        <v>83.32</v>
      </c>
      <c r="M308" s="66">
        <v>11.17</v>
      </c>
      <c r="N308" s="66">
        <v>98.9</v>
      </c>
      <c r="O308" s="66">
        <v>46.68</v>
      </c>
      <c r="P308" s="65" t="s">
        <v>208</v>
      </c>
      <c r="Q308" s="66">
        <v>97.28</v>
      </c>
      <c r="R308" s="66">
        <v>80.19</v>
      </c>
      <c r="S308" s="66">
        <v>99.39</v>
      </c>
    </row>
    <row r="309" spans="1:19" x14ac:dyDescent="0.35">
      <c r="A309" s="76">
        <v>45956</v>
      </c>
      <c r="B309" s="65" t="s">
        <v>506</v>
      </c>
      <c r="C309" s="66">
        <v>6.52</v>
      </c>
      <c r="D309" s="66">
        <v>33.590000000000003</v>
      </c>
      <c r="E309" s="66">
        <v>14.55</v>
      </c>
      <c r="F309" s="66">
        <v>12.29</v>
      </c>
      <c r="G309" s="66">
        <v>11.22</v>
      </c>
      <c r="H309" s="66">
        <v>16.059999999999999</v>
      </c>
      <c r="I309" s="66">
        <v>16.079999999999998</v>
      </c>
      <c r="J309" s="66">
        <v>19.61</v>
      </c>
      <c r="K309" s="66">
        <v>77.12</v>
      </c>
      <c r="L309" s="66">
        <v>53.32</v>
      </c>
      <c r="M309" s="66">
        <v>10.76</v>
      </c>
      <c r="N309" s="66">
        <v>75.19</v>
      </c>
      <c r="O309" s="66">
        <v>63.25</v>
      </c>
      <c r="P309" s="65" t="s">
        <v>208</v>
      </c>
      <c r="Q309" s="66">
        <v>85.97</v>
      </c>
      <c r="R309" s="66">
        <v>65.540000000000006</v>
      </c>
      <c r="S309" s="66">
        <v>73.98</v>
      </c>
    </row>
    <row r="310" spans="1:19" x14ac:dyDescent="0.35">
      <c r="A310" s="76">
        <v>45957</v>
      </c>
      <c r="B310" s="65" t="s">
        <v>507</v>
      </c>
      <c r="C310" s="66">
        <v>68.400000000000006</v>
      </c>
      <c r="D310" s="66">
        <v>75.709999999999994</v>
      </c>
      <c r="E310" s="66">
        <v>60.11</v>
      </c>
      <c r="F310" s="66">
        <v>68.77</v>
      </c>
      <c r="G310" s="66">
        <v>69.08</v>
      </c>
      <c r="H310" s="66">
        <v>47.66</v>
      </c>
      <c r="I310" s="66">
        <v>66.77</v>
      </c>
      <c r="J310" s="66">
        <v>59.97</v>
      </c>
      <c r="K310" s="66">
        <v>105.42</v>
      </c>
      <c r="L310" s="66">
        <v>96.51</v>
      </c>
      <c r="M310" s="66">
        <v>70.23</v>
      </c>
      <c r="N310" s="66">
        <v>104.05</v>
      </c>
      <c r="O310" s="66">
        <v>84.2</v>
      </c>
      <c r="P310" s="65" t="s">
        <v>208</v>
      </c>
      <c r="Q310" s="66">
        <v>106.49</v>
      </c>
      <c r="R310" s="66">
        <v>102.3</v>
      </c>
      <c r="S310" s="66">
        <v>115.51</v>
      </c>
    </row>
    <row r="311" spans="1:19" x14ac:dyDescent="0.35">
      <c r="A311" s="76">
        <v>45958</v>
      </c>
      <c r="B311" s="65" t="s">
        <v>508</v>
      </c>
      <c r="C311" s="66">
        <v>66.67</v>
      </c>
      <c r="D311" s="66">
        <v>75.83</v>
      </c>
      <c r="E311" s="66">
        <v>62.91</v>
      </c>
      <c r="F311" s="66">
        <v>67.569999999999993</v>
      </c>
      <c r="G311" s="66">
        <v>72.94</v>
      </c>
      <c r="H311" s="66">
        <v>56.17</v>
      </c>
      <c r="I311" s="66">
        <v>66.959999999999994</v>
      </c>
      <c r="J311" s="66">
        <v>62.57</v>
      </c>
      <c r="K311" s="66">
        <v>100.2</v>
      </c>
      <c r="L311" s="66">
        <v>87.8</v>
      </c>
      <c r="M311" s="66">
        <v>73.47</v>
      </c>
      <c r="N311" s="66">
        <v>106.9</v>
      </c>
      <c r="O311" s="66">
        <v>76.67</v>
      </c>
      <c r="P311" s="65" t="s">
        <v>208</v>
      </c>
      <c r="Q311" s="66">
        <v>110.69</v>
      </c>
      <c r="R311" s="66">
        <v>100.18</v>
      </c>
      <c r="S311" s="66">
        <v>119.16</v>
      </c>
    </row>
    <row r="312" spans="1:19" x14ac:dyDescent="0.35">
      <c r="A312" s="76">
        <v>45959</v>
      </c>
      <c r="B312" s="65" t="s">
        <v>509</v>
      </c>
      <c r="C312" s="66">
        <v>87.72</v>
      </c>
      <c r="D312" s="66">
        <v>90.66</v>
      </c>
      <c r="E312" s="66">
        <v>86.66</v>
      </c>
      <c r="F312" s="66">
        <v>84.5</v>
      </c>
      <c r="G312" s="66">
        <v>87.35</v>
      </c>
      <c r="H312" s="66">
        <v>83.4</v>
      </c>
      <c r="I312" s="66">
        <v>89.42</v>
      </c>
      <c r="J312" s="66">
        <v>72.59</v>
      </c>
      <c r="K312" s="66">
        <v>99.91</v>
      </c>
      <c r="L312" s="66">
        <v>102.15</v>
      </c>
      <c r="M312" s="66">
        <v>86.36</v>
      </c>
      <c r="N312" s="66">
        <v>109.87</v>
      </c>
      <c r="O312" s="66">
        <v>95.05</v>
      </c>
      <c r="P312" s="65" t="s">
        <v>208</v>
      </c>
      <c r="Q312" s="66">
        <v>114.61</v>
      </c>
      <c r="R312" s="66">
        <v>99.12</v>
      </c>
      <c r="S312" s="66">
        <v>100.41</v>
      </c>
    </row>
    <row r="313" spans="1:19" x14ac:dyDescent="0.35">
      <c r="A313" s="76">
        <v>45960</v>
      </c>
      <c r="B313" s="65" t="s">
        <v>510</v>
      </c>
      <c r="C313" s="66">
        <v>69.41</v>
      </c>
      <c r="D313" s="66">
        <v>76.16</v>
      </c>
      <c r="E313" s="66">
        <v>68.91</v>
      </c>
      <c r="F313" s="66">
        <v>70.03</v>
      </c>
      <c r="G313" s="66">
        <v>69.92</v>
      </c>
      <c r="H313" s="66">
        <v>53.26</v>
      </c>
      <c r="I313" s="66">
        <v>78.569999999999993</v>
      </c>
      <c r="J313" s="66">
        <v>64.03</v>
      </c>
      <c r="K313" s="66">
        <v>103.74</v>
      </c>
      <c r="L313" s="66">
        <v>92.98</v>
      </c>
      <c r="M313" s="66">
        <v>47.91</v>
      </c>
      <c r="N313" s="66">
        <v>105.52</v>
      </c>
      <c r="O313" s="66">
        <v>82.86</v>
      </c>
      <c r="P313" s="65" t="s">
        <v>208</v>
      </c>
      <c r="Q313" s="66">
        <v>117.25</v>
      </c>
      <c r="R313" s="66">
        <v>101.83</v>
      </c>
      <c r="S313" s="66">
        <v>103.92</v>
      </c>
    </row>
    <row r="314" spans="1:19" x14ac:dyDescent="0.35">
      <c r="A314" s="76">
        <v>45961</v>
      </c>
      <c r="B314" s="65" t="s">
        <v>511</v>
      </c>
      <c r="C314" s="66">
        <v>93.24</v>
      </c>
      <c r="D314" s="66">
        <v>83.57</v>
      </c>
      <c r="E314" s="66">
        <v>66.94</v>
      </c>
      <c r="F314" s="66">
        <v>82.55</v>
      </c>
      <c r="G314" s="66">
        <v>92.46</v>
      </c>
      <c r="H314" s="66">
        <v>22.31</v>
      </c>
      <c r="I314" s="66">
        <v>83.91</v>
      </c>
      <c r="J314" s="66">
        <v>65.040000000000006</v>
      </c>
      <c r="K314" s="66">
        <v>106.69</v>
      </c>
      <c r="L314" s="66">
        <v>115.06</v>
      </c>
      <c r="M314" s="66">
        <v>72.430000000000007</v>
      </c>
      <c r="N314" s="66">
        <v>108.93</v>
      </c>
      <c r="O314" s="66">
        <v>102.99</v>
      </c>
      <c r="P314" s="65" t="s">
        <v>208</v>
      </c>
      <c r="Q314" s="66">
        <v>124.5</v>
      </c>
      <c r="R314" s="66">
        <v>114.87</v>
      </c>
      <c r="S314" s="66">
        <v>131.9</v>
      </c>
    </row>
    <row r="315" spans="1:19" x14ac:dyDescent="0.35">
      <c r="A315" s="76">
        <v>45962</v>
      </c>
      <c r="B315" s="65" t="s">
        <v>512</v>
      </c>
      <c r="C315" s="66">
        <v>47.63</v>
      </c>
      <c r="D315" s="66">
        <v>51.06</v>
      </c>
      <c r="E315" s="66">
        <v>38.43</v>
      </c>
      <c r="F315" s="66">
        <v>40.549999999999997</v>
      </c>
      <c r="G315" s="66">
        <v>41.96</v>
      </c>
      <c r="H315" s="66">
        <v>27.12</v>
      </c>
      <c r="I315" s="66">
        <v>43.48</v>
      </c>
      <c r="J315" s="66">
        <v>40.01</v>
      </c>
      <c r="K315" s="66">
        <v>75.099999999999994</v>
      </c>
      <c r="L315" s="66">
        <v>70.41</v>
      </c>
      <c r="M315" s="66">
        <v>26.18</v>
      </c>
      <c r="N315" s="66">
        <v>91.45</v>
      </c>
      <c r="O315" s="66">
        <v>66.95</v>
      </c>
      <c r="P315" s="65" t="s">
        <v>208</v>
      </c>
      <c r="Q315" s="66">
        <v>104.75</v>
      </c>
      <c r="R315" s="66">
        <v>73.47</v>
      </c>
      <c r="S315" s="66">
        <v>83.76</v>
      </c>
    </row>
    <row r="316" spans="1:19" x14ac:dyDescent="0.35">
      <c r="A316" s="76">
        <v>45963</v>
      </c>
      <c r="B316" s="65" t="s">
        <v>513</v>
      </c>
      <c r="C316" s="66">
        <v>85.91</v>
      </c>
      <c r="D316" s="66">
        <v>74.64</v>
      </c>
      <c r="E316" s="66">
        <v>66.66</v>
      </c>
      <c r="F316" s="66">
        <v>77.55</v>
      </c>
      <c r="G316" s="66">
        <v>82.13</v>
      </c>
      <c r="H316" s="66">
        <v>25.1</v>
      </c>
      <c r="I316" s="66">
        <v>75.540000000000006</v>
      </c>
      <c r="J316" s="66">
        <v>61.46</v>
      </c>
      <c r="K316" s="66">
        <v>94.81</v>
      </c>
      <c r="L316" s="66">
        <v>106.74</v>
      </c>
      <c r="M316" s="66">
        <v>49.08</v>
      </c>
      <c r="N316" s="66">
        <v>89.63</v>
      </c>
      <c r="O316" s="66">
        <v>92.4</v>
      </c>
      <c r="P316" s="65" t="s">
        <v>208</v>
      </c>
      <c r="Q316" s="66">
        <v>104.11</v>
      </c>
      <c r="R316" s="66">
        <v>93.87</v>
      </c>
      <c r="S316" s="66">
        <v>93.54</v>
      </c>
    </row>
    <row r="317" spans="1:19" x14ac:dyDescent="0.35">
      <c r="A317" s="76">
        <v>45964</v>
      </c>
      <c r="B317" s="65" t="s">
        <v>514</v>
      </c>
      <c r="C317" s="66">
        <v>78.290000000000006</v>
      </c>
      <c r="D317" s="66">
        <v>78.12</v>
      </c>
      <c r="E317" s="66">
        <v>64.63</v>
      </c>
      <c r="F317" s="66">
        <v>69.89</v>
      </c>
      <c r="G317" s="66">
        <v>75.819999999999993</v>
      </c>
      <c r="H317" s="66">
        <v>46.19</v>
      </c>
      <c r="I317" s="66">
        <v>75.25</v>
      </c>
      <c r="J317" s="66">
        <v>60.91</v>
      </c>
      <c r="K317" s="66">
        <v>90.73</v>
      </c>
      <c r="L317" s="66">
        <v>127.34</v>
      </c>
      <c r="M317" s="66">
        <v>61.09</v>
      </c>
      <c r="N317" s="66">
        <v>96.99</v>
      </c>
      <c r="O317" s="66">
        <v>90.48</v>
      </c>
      <c r="P317" s="65" t="s">
        <v>208</v>
      </c>
      <c r="Q317" s="66">
        <v>110.41</v>
      </c>
      <c r="R317" s="66">
        <v>100.76</v>
      </c>
      <c r="S317" s="66">
        <v>128.16999999999999</v>
      </c>
    </row>
    <row r="318" spans="1:19" x14ac:dyDescent="0.35">
      <c r="A318" s="76">
        <v>45965</v>
      </c>
      <c r="B318" s="65" t="s">
        <v>515</v>
      </c>
      <c r="C318" s="66">
        <v>73.55</v>
      </c>
      <c r="D318" s="66">
        <v>63.68</v>
      </c>
      <c r="E318" s="66">
        <v>53.42</v>
      </c>
      <c r="F318" s="66">
        <v>50.83</v>
      </c>
      <c r="G318" s="66">
        <v>59.79</v>
      </c>
      <c r="H318" s="66">
        <v>20.95</v>
      </c>
      <c r="I318" s="66">
        <v>70.099999999999994</v>
      </c>
      <c r="J318" s="66">
        <v>46.21</v>
      </c>
      <c r="K318" s="66">
        <v>89.93</v>
      </c>
      <c r="L318" s="66">
        <v>110.65</v>
      </c>
      <c r="M318" s="66">
        <v>8.98</v>
      </c>
      <c r="N318" s="66">
        <v>102.39</v>
      </c>
      <c r="O318" s="66">
        <v>87.28</v>
      </c>
      <c r="P318" s="65" t="s">
        <v>208</v>
      </c>
      <c r="Q318" s="66">
        <v>105.24</v>
      </c>
      <c r="R318" s="66">
        <v>99.81</v>
      </c>
      <c r="S318" s="66">
        <v>127.57</v>
      </c>
    </row>
    <row r="319" spans="1:19" x14ac:dyDescent="0.35">
      <c r="A319" s="76">
        <v>45966</v>
      </c>
      <c r="B319" s="65" t="s">
        <v>516</v>
      </c>
      <c r="C319" s="66">
        <v>93.43</v>
      </c>
      <c r="D319" s="66">
        <v>77.13</v>
      </c>
      <c r="E319" s="66">
        <v>69.709999999999994</v>
      </c>
      <c r="F319" s="66">
        <v>80.400000000000006</v>
      </c>
      <c r="G319" s="66">
        <v>89.15</v>
      </c>
      <c r="H319" s="66">
        <v>21.47</v>
      </c>
      <c r="I319" s="66">
        <v>84.61</v>
      </c>
      <c r="J319" s="66">
        <v>65.56</v>
      </c>
      <c r="K319" s="66">
        <v>101.26</v>
      </c>
      <c r="L319" s="66">
        <v>106.06</v>
      </c>
      <c r="M319" s="66">
        <v>26.39</v>
      </c>
      <c r="N319" s="66">
        <v>109.58</v>
      </c>
      <c r="O319" s="66">
        <v>94.22</v>
      </c>
      <c r="P319" s="65" t="s">
        <v>208</v>
      </c>
      <c r="Q319" s="66">
        <v>112.88</v>
      </c>
      <c r="R319" s="66">
        <v>106.63</v>
      </c>
      <c r="S319" s="66">
        <v>126.43</v>
      </c>
    </row>
    <row r="320" spans="1:19" x14ac:dyDescent="0.35">
      <c r="A320" s="76">
        <v>45967</v>
      </c>
      <c r="B320" s="65" t="s">
        <v>517</v>
      </c>
      <c r="C320" s="66">
        <v>106.21</v>
      </c>
      <c r="D320" s="66">
        <v>92.77</v>
      </c>
      <c r="E320" s="66">
        <v>97.35</v>
      </c>
      <c r="F320" s="66">
        <v>104.04</v>
      </c>
      <c r="G320" s="66">
        <v>106.02</v>
      </c>
      <c r="H320" s="66">
        <v>62.3</v>
      </c>
      <c r="I320" s="66">
        <v>101.04</v>
      </c>
      <c r="J320" s="66">
        <v>69.900000000000006</v>
      </c>
      <c r="K320" s="66">
        <v>107.81</v>
      </c>
      <c r="L320" s="66">
        <v>109.92</v>
      </c>
      <c r="M320" s="66">
        <v>43</v>
      </c>
      <c r="N320" s="66">
        <v>115.12</v>
      </c>
      <c r="O320" s="66">
        <v>104.03</v>
      </c>
      <c r="P320" s="65" t="s">
        <v>208</v>
      </c>
      <c r="Q320" s="66">
        <v>115.45</v>
      </c>
      <c r="R320" s="66">
        <v>113.65</v>
      </c>
      <c r="S320" s="66">
        <v>132.87</v>
      </c>
    </row>
    <row r="321" spans="1:19" x14ac:dyDescent="0.35">
      <c r="A321" s="76">
        <v>45968</v>
      </c>
      <c r="B321" s="65" t="s">
        <v>518</v>
      </c>
      <c r="C321" s="66">
        <v>110.8</v>
      </c>
      <c r="D321" s="66">
        <v>97.12</v>
      </c>
      <c r="E321" s="66">
        <v>92.24</v>
      </c>
      <c r="F321" s="66">
        <v>108.76</v>
      </c>
      <c r="G321" s="66">
        <v>110.57</v>
      </c>
      <c r="H321" s="66">
        <v>66.64</v>
      </c>
      <c r="I321" s="66">
        <v>103.53</v>
      </c>
      <c r="J321" s="66">
        <v>70.11</v>
      </c>
      <c r="K321" s="66">
        <v>110.27</v>
      </c>
      <c r="L321" s="66">
        <v>112.69</v>
      </c>
      <c r="M321" s="66">
        <v>67.930000000000007</v>
      </c>
      <c r="N321" s="66">
        <v>115.17</v>
      </c>
      <c r="O321" s="66">
        <v>110.4</v>
      </c>
      <c r="P321" s="65" t="s">
        <v>208</v>
      </c>
      <c r="Q321" s="66">
        <v>116.35</v>
      </c>
      <c r="R321" s="66">
        <v>114.17</v>
      </c>
      <c r="S321" s="66">
        <v>124.14</v>
      </c>
    </row>
    <row r="322" spans="1:19" x14ac:dyDescent="0.35">
      <c r="A322" s="76">
        <v>45969</v>
      </c>
      <c r="B322" s="65" t="s">
        <v>519</v>
      </c>
      <c r="C322" s="66">
        <v>106.46</v>
      </c>
      <c r="D322" s="66">
        <v>93.48</v>
      </c>
      <c r="E322" s="66">
        <v>92.22</v>
      </c>
      <c r="F322" s="66">
        <v>106.15</v>
      </c>
      <c r="G322" s="66">
        <v>106.45</v>
      </c>
      <c r="H322" s="66">
        <v>56.09</v>
      </c>
      <c r="I322" s="66">
        <v>99.55</v>
      </c>
      <c r="J322" s="66">
        <v>68.16</v>
      </c>
      <c r="K322" s="66">
        <v>110.83</v>
      </c>
      <c r="L322" s="66">
        <v>110.93</v>
      </c>
      <c r="M322" s="66">
        <v>62.45</v>
      </c>
      <c r="N322" s="66">
        <v>108.1</v>
      </c>
      <c r="O322" s="66">
        <v>107.33</v>
      </c>
      <c r="P322" s="65" t="s">
        <v>208</v>
      </c>
      <c r="Q322" s="66">
        <v>109.91</v>
      </c>
      <c r="R322" s="66">
        <v>112.06</v>
      </c>
      <c r="S322" s="66">
        <v>112.66</v>
      </c>
    </row>
    <row r="323" spans="1:19" x14ac:dyDescent="0.35">
      <c r="A323" s="76">
        <v>45970</v>
      </c>
      <c r="B323" s="65" t="s">
        <v>520</v>
      </c>
      <c r="C323" s="66">
        <v>99</v>
      </c>
      <c r="D323" s="66">
        <v>90.28</v>
      </c>
      <c r="E323" s="66">
        <v>89.13</v>
      </c>
      <c r="F323" s="66">
        <v>98.94</v>
      </c>
      <c r="G323" s="66">
        <v>98.92</v>
      </c>
      <c r="H323" s="66">
        <v>60.37</v>
      </c>
      <c r="I323" s="66">
        <v>93.52</v>
      </c>
      <c r="J323" s="66">
        <v>68.31</v>
      </c>
      <c r="K323" s="66">
        <v>105.47</v>
      </c>
      <c r="L323" s="66">
        <v>109.98</v>
      </c>
      <c r="M323" s="66">
        <v>60.35</v>
      </c>
      <c r="N323" s="66">
        <v>105.21</v>
      </c>
      <c r="O323" s="66">
        <v>102.93</v>
      </c>
      <c r="P323" s="65" t="s">
        <v>208</v>
      </c>
      <c r="Q323" s="66">
        <v>107.57</v>
      </c>
      <c r="R323" s="66">
        <v>105.82</v>
      </c>
      <c r="S323" s="66">
        <v>105.58</v>
      </c>
    </row>
    <row r="324" spans="1:19" x14ac:dyDescent="0.35">
      <c r="A324" s="76">
        <v>45971</v>
      </c>
      <c r="B324" s="65" t="s">
        <v>521</v>
      </c>
      <c r="C324" s="66">
        <v>109.89</v>
      </c>
      <c r="D324" s="66">
        <v>101.57</v>
      </c>
      <c r="E324" s="66">
        <v>82.78</v>
      </c>
      <c r="F324" s="66">
        <v>108.56</v>
      </c>
      <c r="G324" s="66">
        <v>112.5</v>
      </c>
      <c r="H324" s="66">
        <v>49.13</v>
      </c>
      <c r="I324" s="66">
        <v>97.57</v>
      </c>
      <c r="J324" s="66">
        <v>71.19</v>
      </c>
      <c r="K324" s="66">
        <v>121.85</v>
      </c>
      <c r="L324" s="66">
        <v>135.44</v>
      </c>
      <c r="M324" s="66">
        <v>98.06</v>
      </c>
      <c r="N324" s="66">
        <v>118.94</v>
      </c>
      <c r="O324" s="66">
        <v>121.26</v>
      </c>
      <c r="P324" s="65" t="s">
        <v>208</v>
      </c>
      <c r="Q324" s="66">
        <v>115.62</v>
      </c>
      <c r="R324" s="66">
        <v>122.69</v>
      </c>
      <c r="S324" s="66">
        <v>126.13</v>
      </c>
    </row>
    <row r="325" spans="1:19" x14ac:dyDescent="0.35">
      <c r="A325" s="76">
        <v>45972</v>
      </c>
      <c r="B325" s="65" t="s">
        <v>522</v>
      </c>
      <c r="C325" s="66">
        <v>96.89</v>
      </c>
      <c r="D325" s="66">
        <v>85.87</v>
      </c>
      <c r="E325" s="66">
        <v>71.19</v>
      </c>
      <c r="F325" s="66">
        <v>86.53</v>
      </c>
      <c r="G325" s="66">
        <v>89.17</v>
      </c>
      <c r="H325" s="66">
        <v>22.82</v>
      </c>
      <c r="I325" s="66">
        <v>85.93</v>
      </c>
      <c r="J325" s="66">
        <v>67.62</v>
      </c>
      <c r="K325" s="66">
        <v>116.22</v>
      </c>
      <c r="L325" s="66">
        <v>111.12</v>
      </c>
      <c r="M325" s="66">
        <v>76.260000000000005</v>
      </c>
      <c r="N325" s="66">
        <v>113.7</v>
      </c>
      <c r="O325" s="66">
        <v>104.04</v>
      </c>
      <c r="P325" s="65" t="s">
        <v>208</v>
      </c>
      <c r="Q325" s="66">
        <v>113.88</v>
      </c>
      <c r="R325" s="66">
        <v>112.28</v>
      </c>
      <c r="S325" s="66">
        <v>113.15</v>
      </c>
    </row>
    <row r="326" spans="1:19" x14ac:dyDescent="0.35">
      <c r="A326" s="76">
        <v>45973</v>
      </c>
      <c r="B326" s="65" t="s">
        <v>523</v>
      </c>
      <c r="C326" s="66">
        <v>80.319999999999993</v>
      </c>
      <c r="D326" s="66">
        <v>72.33</v>
      </c>
      <c r="E326" s="66">
        <v>67.28</v>
      </c>
      <c r="F326" s="66">
        <v>53.98</v>
      </c>
      <c r="G326" s="66">
        <v>48.87</v>
      </c>
      <c r="H326" s="66">
        <v>21.23</v>
      </c>
      <c r="I326" s="66">
        <v>73.099999999999994</v>
      </c>
      <c r="J326" s="66">
        <v>55.42</v>
      </c>
      <c r="K326" s="66">
        <v>118.75</v>
      </c>
      <c r="L326" s="66">
        <v>118.13</v>
      </c>
      <c r="M326" s="66">
        <v>28.97</v>
      </c>
      <c r="N326" s="66">
        <v>114.29</v>
      </c>
      <c r="O326" s="66">
        <v>95.63</v>
      </c>
      <c r="P326" s="65" t="s">
        <v>208</v>
      </c>
      <c r="Q326" s="66">
        <v>114.18</v>
      </c>
      <c r="R326" s="66">
        <v>121.96</v>
      </c>
      <c r="S326" s="66">
        <v>137.21</v>
      </c>
    </row>
    <row r="327" spans="1:19" x14ac:dyDescent="0.35">
      <c r="A327" s="76">
        <v>45974</v>
      </c>
      <c r="B327" s="65" t="s">
        <v>524</v>
      </c>
      <c r="C327" s="66">
        <v>69.849999999999994</v>
      </c>
      <c r="D327" s="66">
        <v>67.92</v>
      </c>
      <c r="E327" s="66">
        <v>64.28</v>
      </c>
      <c r="F327" s="66">
        <v>59.1</v>
      </c>
      <c r="G327" s="66">
        <v>43.79</v>
      </c>
      <c r="H327" s="66">
        <v>31.59</v>
      </c>
      <c r="I327" s="66">
        <v>75.790000000000006</v>
      </c>
      <c r="J327" s="66">
        <v>51.19</v>
      </c>
      <c r="K327" s="66">
        <v>123.38</v>
      </c>
      <c r="L327" s="66">
        <v>68.849999999999994</v>
      </c>
      <c r="M327" s="66">
        <v>27.35</v>
      </c>
      <c r="N327" s="66">
        <v>113.29</v>
      </c>
      <c r="O327" s="66">
        <v>88.54</v>
      </c>
      <c r="P327" s="65" t="s">
        <v>208</v>
      </c>
      <c r="Q327" s="66">
        <v>125.16</v>
      </c>
      <c r="R327" s="66">
        <v>126.42</v>
      </c>
      <c r="S327" s="66">
        <v>139.4</v>
      </c>
    </row>
    <row r="328" spans="1:19" x14ac:dyDescent="0.35">
      <c r="A328" s="76">
        <v>45975</v>
      </c>
      <c r="B328" s="65" t="s">
        <v>525</v>
      </c>
      <c r="C328" s="66">
        <v>106.73</v>
      </c>
      <c r="D328" s="66">
        <v>93.29</v>
      </c>
      <c r="E328" s="66">
        <v>80.31</v>
      </c>
      <c r="F328" s="66">
        <v>97.27</v>
      </c>
      <c r="G328" s="66">
        <v>100.12</v>
      </c>
      <c r="H328" s="66">
        <v>26</v>
      </c>
      <c r="I328" s="66">
        <v>93.34</v>
      </c>
      <c r="J328" s="66">
        <v>73.709999999999994</v>
      </c>
      <c r="K328" s="66">
        <v>121.59</v>
      </c>
      <c r="L328" s="66">
        <v>126.14</v>
      </c>
      <c r="M328" s="66">
        <v>76.56</v>
      </c>
      <c r="N328" s="66">
        <v>115.69</v>
      </c>
      <c r="O328" s="66">
        <v>115.47</v>
      </c>
      <c r="P328" s="65" t="s">
        <v>208</v>
      </c>
      <c r="Q328" s="66">
        <v>115.77</v>
      </c>
      <c r="R328" s="66">
        <v>122.92</v>
      </c>
      <c r="S328" s="66">
        <v>132.01</v>
      </c>
    </row>
    <row r="329" spans="1:19" x14ac:dyDescent="0.35">
      <c r="A329" s="76">
        <v>45976</v>
      </c>
      <c r="B329" s="65" t="s">
        <v>526</v>
      </c>
      <c r="C329" s="66">
        <v>90.7</v>
      </c>
      <c r="D329" s="66">
        <v>82.13</v>
      </c>
      <c r="E329" s="66">
        <v>77.19</v>
      </c>
      <c r="F329" s="66">
        <v>80.709999999999994</v>
      </c>
      <c r="G329" s="66">
        <v>82.1</v>
      </c>
      <c r="H329" s="66">
        <v>31.28</v>
      </c>
      <c r="I329" s="66">
        <v>83</v>
      </c>
      <c r="J329" s="66">
        <v>72.819999999999993</v>
      </c>
      <c r="K329" s="66">
        <v>109.99</v>
      </c>
      <c r="L329" s="66">
        <v>113.38</v>
      </c>
      <c r="M329" s="66">
        <v>44.99</v>
      </c>
      <c r="N329" s="66">
        <v>109.29</v>
      </c>
      <c r="O329" s="66">
        <v>98.63</v>
      </c>
      <c r="P329" s="65" t="s">
        <v>208</v>
      </c>
      <c r="Q329" s="66">
        <v>111.68</v>
      </c>
      <c r="R329" s="66">
        <v>111.23</v>
      </c>
      <c r="S329" s="66">
        <v>116.47</v>
      </c>
    </row>
    <row r="330" spans="1:19" x14ac:dyDescent="0.35">
      <c r="A330" s="76">
        <v>45977</v>
      </c>
      <c r="B330" s="65" t="s">
        <v>527</v>
      </c>
      <c r="C330" s="66">
        <v>101.44</v>
      </c>
      <c r="D330" s="66">
        <v>88.3</v>
      </c>
      <c r="E330" s="66">
        <v>85</v>
      </c>
      <c r="F330" s="66">
        <v>92.75</v>
      </c>
      <c r="G330" s="66">
        <v>92.93</v>
      </c>
      <c r="H330" s="66">
        <v>36.92</v>
      </c>
      <c r="I330" s="66">
        <v>91.49</v>
      </c>
      <c r="J330" s="66">
        <v>78.900000000000006</v>
      </c>
      <c r="K330" s="66">
        <v>109.2</v>
      </c>
      <c r="L330" s="66">
        <v>106.65</v>
      </c>
      <c r="M330" s="66">
        <v>68.010000000000005</v>
      </c>
      <c r="N330" s="66">
        <v>105.68</v>
      </c>
      <c r="O330" s="66">
        <v>103.78</v>
      </c>
      <c r="P330" s="65" t="s">
        <v>208</v>
      </c>
      <c r="Q330" s="66">
        <v>111.32</v>
      </c>
      <c r="R330" s="66">
        <v>109.65</v>
      </c>
      <c r="S330" s="66">
        <v>108.63</v>
      </c>
    </row>
    <row r="331" spans="1:19" x14ac:dyDescent="0.35">
      <c r="A331" s="76">
        <v>45978</v>
      </c>
      <c r="B331" s="65" t="s">
        <v>528</v>
      </c>
      <c r="C331" s="66">
        <v>94.71</v>
      </c>
      <c r="D331" s="66">
        <v>93.05</v>
      </c>
      <c r="E331" s="66">
        <v>89.51</v>
      </c>
      <c r="F331" s="66">
        <v>86.63</v>
      </c>
      <c r="G331" s="66">
        <v>88.3</v>
      </c>
      <c r="H331" s="66">
        <v>63.59</v>
      </c>
      <c r="I331" s="66">
        <v>84.49</v>
      </c>
      <c r="J331" s="66">
        <v>84.44</v>
      </c>
      <c r="K331" s="66">
        <v>104.72</v>
      </c>
      <c r="L331" s="66">
        <v>118.04</v>
      </c>
      <c r="M331" s="66">
        <v>85.98</v>
      </c>
      <c r="N331" s="66">
        <v>114.98</v>
      </c>
      <c r="O331" s="66">
        <v>102.83</v>
      </c>
      <c r="P331" s="65" t="s">
        <v>208</v>
      </c>
      <c r="Q331" s="66">
        <v>108.79</v>
      </c>
      <c r="R331" s="66">
        <v>105.4</v>
      </c>
      <c r="S331" s="66">
        <v>106.79</v>
      </c>
    </row>
    <row r="332" spans="1:19" x14ac:dyDescent="0.35">
      <c r="A332" s="76">
        <v>45979</v>
      </c>
      <c r="B332" s="65" t="s">
        <v>529</v>
      </c>
      <c r="C332" s="66">
        <v>101.97</v>
      </c>
      <c r="D332" s="66">
        <v>104.16</v>
      </c>
      <c r="E332" s="66">
        <v>99.11</v>
      </c>
      <c r="F332" s="66">
        <v>102.52</v>
      </c>
      <c r="G332" s="66">
        <v>107.25</v>
      </c>
      <c r="H332" s="66">
        <v>88.06</v>
      </c>
      <c r="I332" s="66">
        <v>99.62</v>
      </c>
      <c r="J332" s="66">
        <v>99.06</v>
      </c>
      <c r="K332" s="66">
        <v>108.84</v>
      </c>
      <c r="L332" s="66">
        <v>110.28</v>
      </c>
      <c r="M332" s="66">
        <v>108.3</v>
      </c>
      <c r="N332" s="66">
        <v>117.51</v>
      </c>
      <c r="O332" s="66">
        <v>105.22</v>
      </c>
      <c r="P332" s="65" t="s">
        <v>208</v>
      </c>
      <c r="Q332" s="66">
        <v>116.72</v>
      </c>
      <c r="R332" s="66">
        <v>108.27</v>
      </c>
      <c r="S332" s="66">
        <v>108.53</v>
      </c>
    </row>
    <row r="333" spans="1:19" x14ac:dyDescent="0.35">
      <c r="A333" s="76">
        <v>45980</v>
      </c>
      <c r="B333" s="65" t="s">
        <v>530</v>
      </c>
      <c r="C333" s="66">
        <v>102.53</v>
      </c>
      <c r="D333" s="66">
        <v>110.12</v>
      </c>
      <c r="E333" s="66">
        <v>98.74</v>
      </c>
      <c r="F333" s="66">
        <v>104.96</v>
      </c>
      <c r="G333" s="66">
        <v>120.75</v>
      </c>
      <c r="H333" s="66">
        <v>87.58</v>
      </c>
      <c r="I333" s="66">
        <v>99.64</v>
      </c>
      <c r="J333" s="66">
        <v>99.66</v>
      </c>
      <c r="K333" s="66">
        <v>122.75</v>
      </c>
      <c r="L333" s="66">
        <v>124.91</v>
      </c>
      <c r="M333" s="66">
        <v>120.23</v>
      </c>
      <c r="N333" s="66">
        <v>121.8</v>
      </c>
      <c r="O333" s="66">
        <v>110.3</v>
      </c>
      <c r="P333" s="65" t="s">
        <v>208</v>
      </c>
      <c r="Q333" s="66">
        <v>120.51</v>
      </c>
      <c r="R333" s="66">
        <v>119.57</v>
      </c>
      <c r="S333" s="66">
        <v>120.27</v>
      </c>
    </row>
    <row r="334" spans="1:19" x14ac:dyDescent="0.35">
      <c r="A334" s="76">
        <v>45981</v>
      </c>
      <c r="B334" s="65" t="s">
        <v>531</v>
      </c>
      <c r="C334" s="66">
        <v>125.99</v>
      </c>
      <c r="D334" s="66">
        <v>123.81</v>
      </c>
      <c r="E334" s="66">
        <v>116.63</v>
      </c>
      <c r="F334" s="66">
        <v>125.29</v>
      </c>
      <c r="G334" s="66">
        <v>125.43</v>
      </c>
      <c r="H334" s="66">
        <v>102.19</v>
      </c>
      <c r="I334" s="66">
        <v>122.61</v>
      </c>
      <c r="J334" s="66">
        <v>121.83</v>
      </c>
      <c r="K334" s="66">
        <v>132.15</v>
      </c>
      <c r="L334" s="66">
        <v>138.09</v>
      </c>
      <c r="M334" s="66">
        <v>124.89</v>
      </c>
      <c r="N334" s="66">
        <v>123.56</v>
      </c>
      <c r="O334" s="66">
        <v>129.19</v>
      </c>
      <c r="P334" s="65" t="s">
        <v>208</v>
      </c>
      <c r="Q334" s="66">
        <v>131.94</v>
      </c>
      <c r="R334" s="66">
        <v>131.6</v>
      </c>
      <c r="S334" s="66">
        <v>133.32</v>
      </c>
    </row>
    <row r="335" spans="1:19" x14ac:dyDescent="0.35">
      <c r="A335" s="76">
        <v>45982</v>
      </c>
      <c r="B335" s="65" t="s">
        <v>532</v>
      </c>
      <c r="C335" s="66">
        <v>146.47999999999999</v>
      </c>
      <c r="D335" s="66">
        <v>140.74</v>
      </c>
      <c r="E335" s="66">
        <v>133.62</v>
      </c>
      <c r="F335" s="66">
        <v>145.69999999999999</v>
      </c>
      <c r="G335" s="66">
        <v>144.99</v>
      </c>
      <c r="H335" s="66">
        <v>112.72</v>
      </c>
      <c r="I335" s="66">
        <v>141.46</v>
      </c>
      <c r="J335" s="66">
        <v>140.61000000000001</v>
      </c>
      <c r="K335" s="66">
        <v>146.6</v>
      </c>
      <c r="L335" s="66">
        <v>148.38999999999999</v>
      </c>
      <c r="M335" s="66">
        <v>144.53</v>
      </c>
      <c r="N335" s="66">
        <v>142.33000000000001</v>
      </c>
      <c r="O335" s="66">
        <v>147.15</v>
      </c>
      <c r="P335" s="65" t="s">
        <v>208</v>
      </c>
      <c r="Q335" s="66">
        <v>138.21</v>
      </c>
      <c r="R335" s="66">
        <v>145.71</v>
      </c>
      <c r="S335" s="66">
        <v>147.47</v>
      </c>
    </row>
    <row r="336" spans="1:19" x14ac:dyDescent="0.35">
      <c r="A336" s="76">
        <v>45983</v>
      </c>
      <c r="B336" s="65" t="s">
        <v>533</v>
      </c>
      <c r="C336" s="66">
        <v>91.25</v>
      </c>
      <c r="D336" s="66">
        <v>91.52</v>
      </c>
      <c r="E336" s="66">
        <v>91.38</v>
      </c>
      <c r="F336" s="66">
        <v>80.47</v>
      </c>
      <c r="G336" s="66">
        <v>73.069999999999993</v>
      </c>
      <c r="H336" s="66">
        <v>86.16</v>
      </c>
      <c r="I336" s="66">
        <v>88.12</v>
      </c>
      <c r="J336" s="66">
        <v>79.09</v>
      </c>
      <c r="K336" s="66">
        <v>103.42</v>
      </c>
      <c r="L336" s="66">
        <v>131.72999999999999</v>
      </c>
      <c r="M336" s="66">
        <v>54.34</v>
      </c>
      <c r="N336" s="66">
        <v>116.73</v>
      </c>
      <c r="O336" s="66">
        <v>102.23</v>
      </c>
      <c r="P336" s="65" t="s">
        <v>208</v>
      </c>
      <c r="Q336" s="66">
        <v>117.17</v>
      </c>
      <c r="R336" s="66">
        <v>105.07</v>
      </c>
      <c r="S336" s="66">
        <v>108.65</v>
      </c>
    </row>
    <row r="337" spans="1:19" x14ac:dyDescent="0.35">
      <c r="A337" s="76">
        <v>45984</v>
      </c>
      <c r="B337" s="65" t="s">
        <v>534</v>
      </c>
      <c r="C337" s="66">
        <v>71.430000000000007</v>
      </c>
      <c r="D337" s="66">
        <v>80.88</v>
      </c>
      <c r="E337" s="66">
        <v>71.77</v>
      </c>
      <c r="F337" s="66">
        <v>64.61</v>
      </c>
      <c r="G337" s="66">
        <v>56.52</v>
      </c>
      <c r="H337" s="66">
        <v>69.91</v>
      </c>
      <c r="I337" s="66">
        <v>72.709999999999994</v>
      </c>
      <c r="J337" s="66">
        <v>69.819999999999993</v>
      </c>
      <c r="K337" s="66">
        <v>99.4</v>
      </c>
      <c r="L337" s="66">
        <v>123.4</v>
      </c>
      <c r="M337" s="66">
        <v>56.28</v>
      </c>
      <c r="N337" s="66">
        <v>116.56</v>
      </c>
      <c r="O337" s="66">
        <v>88.74</v>
      </c>
      <c r="P337" s="65" t="s">
        <v>208</v>
      </c>
      <c r="Q337" s="66">
        <v>109.27</v>
      </c>
      <c r="R337" s="66">
        <v>96.33</v>
      </c>
      <c r="S337" s="66">
        <v>99.96</v>
      </c>
    </row>
    <row r="338" spans="1:19" x14ac:dyDescent="0.35">
      <c r="A338" s="76">
        <v>45985</v>
      </c>
      <c r="B338" s="65" t="s">
        <v>535</v>
      </c>
      <c r="C338" s="66">
        <v>132.36000000000001</v>
      </c>
      <c r="D338" s="66">
        <v>130.21</v>
      </c>
      <c r="E338" s="66">
        <v>111.33</v>
      </c>
      <c r="F338" s="66">
        <v>126.7</v>
      </c>
      <c r="G338" s="66">
        <v>135.44</v>
      </c>
      <c r="H338" s="66">
        <v>77.94</v>
      </c>
      <c r="I338" s="66">
        <v>122.12</v>
      </c>
      <c r="J338" s="66">
        <v>102.77</v>
      </c>
      <c r="K338" s="66">
        <v>148.21</v>
      </c>
      <c r="L338" s="66">
        <v>190.3</v>
      </c>
      <c r="M338" s="66">
        <v>139.79</v>
      </c>
      <c r="N338" s="66">
        <v>125.91</v>
      </c>
      <c r="O338" s="66">
        <v>151.76</v>
      </c>
      <c r="P338" s="65" t="s">
        <v>208</v>
      </c>
      <c r="Q338" s="66">
        <v>137.77000000000001</v>
      </c>
      <c r="R338" s="66">
        <v>150.61000000000001</v>
      </c>
      <c r="S338" s="66">
        <v>161.30000000000001</v>
      </c>
    </row>
    <row r="339" spans="1:19" x14ac:dyDescent="0.35">
      <c r="A339" s="76">
        <v>45986</v>
      </c>
      <c r="B339" s="65" t="s">
        <v>536</v>
      </c>
      <c r="C339" s="66">
        <v>220.52</v>
      </c>
      <c r="D339" s="66">
        <v>183.3</v>
      </c>
      <c r="E339" s="66">
        <v>108.05</v>
      </c>
      <c r="F339" s="66">
        <v>207.79</v>
      </c>
      <c r="G339" s="66">
        <v>224.06</v>
      </c>
      <c r="H339" s="66">
        <v>70</v>
      </c>
      <c r="I339" s="66">
        <v>147.57</v>
      </c>
      <c r="J339" s="66">
        <v>176.43</v>
      </c>
      <c r="K339" s="66">
        <v>206.65</v>
      </c>
      <c r="L339" s="66">
        <v>257.75</v>
      </c>
      <c r="M339" s="66">
        <v>223.37</v>
      </c>
      <c r="N339" s="66">
        <v>167.32</v>
      </c>
      <c r="O339" s="66">
        <v>227.31</v>
      </c>
      <c r="P339" s="65" t="s">
        <v>208</v>
      </c>
      <c r="Q339" s="66">
        <v>152.25</v>
      </c>
      <c r="R339" s="66">
        <v>200.88</v>
      </c>
      <c r="S339" s="66">
        <v>225.82</v>
      </c>
    </row>
    <row r="340" spans="1:19" x14ac:dyDescent="0.35">
      <c r="A340" s="76">
        <v>45987</v>
      </c>
      <c r="B340" s="65" t="s">
        <v>537</v>
      </c>
      <c r="C340" s="66">
        <v>161.52000000000001</v>
      </c>
      <c r="D340" s="66">
        <v>148.51</v>
      </c>
      <c r="E340" s="66">
        <v>132.84</v>
      </c>
      <c r="F340" s="66">
        <v>161.52000000000001</v>
      </c>
      <c r="G340" s="66">
        <v>161.53</v>
      </c>
      <c r="H340" s="66">
        <v>96.32</v>
      </c>
      <c r="I340" s="66">
        <v>151.69</v>
      </c>
      <c r="J340" s="66">
        <v>138.34</v>
      </c>
      <c r="K340" s="66">
        <v>159.13</v>
      </c>
      <c r="L340" s="66">
        <v>138.29</v>
      </c>
      <c r="M340" s="66">
        <v>160.93</v>
      </c>
      <c r="N340" s="66">
        <v>171.42</v>
      </c>
      <c r="O340" s="66">
        <v>161.63</v>
      </c>
      <c r="P340" s="65" t="s">
        <v>208</v>
      </c>
      <c r="Q340" s="66">
        <v>152.69999999999999</v>
      </c>
      <c r="R340" s="66">
        <v>158.63</v>
      </c>
      <c r="S340" s="66">
        <v>160.63</v>
      </c>
    </row>
    <row r="341" spans="1:19" x14ac:dyDescent="0.35">
      <c r="A341" s="76">
        <v>45988</v>
      </c>
      <c r="B341" s="65" t="s">
        <v>538</v>
      </c>
      <c r="C341" s="66">
        <v>91.18</v>
      </c>
      <c r="D341" s="66">
        <v>92.14</v>
      </c>
      <c r="E341" s="66">
        <v>89.29</v>
      </c>
      <c r="F341" s="66">
        <v>72.650000000000006</v>
      </c>
      <c r="G341" s="66">
        <v>67.78</v>
      </c>
      <c r="H341" s="66">
        <v>83.93</v>
      </c>
      <c r="I341" s="66">
        <v>83.48</v>
      </c>
      <c r="J341" s="66">
        <v>70.989999999999995</v>
      </c>
      <c r="K341" s="66">
        <v>109.63</v>
      </c>
      <c r="L341" s="66">
        <v>135.27000000000001</v>
      </c>
      <c r="M341" s="66">
        <v>68.14</v>
      </c>
      <c r="N341" s="66">
        <v>122.01</v>
      </c>
      <c r="O341" s="66">
        <v>110.4</v>
      </c>
      <c r="P341" s="65" t="s">
        <v>208</v>
      </c>
      <c r="Q341" s="66">
        <v>120.94</v>
      </c>
      <c r="R341" s="66">
        <v>110.98</v>
      </c>
      <c r="S341" s="66">
        <v>116.4</v>
      </c>
    </row>
    <row r="342" spans="1:19" x14ac:dyDescent="0.35">
      <c r="A342" s="76">
        <v>45989</v>
      </c>
      <c r="B342" s="65" t="s">
        <v>539</v>
      </c>
      <c r="C342" s="66">
        <v>85.05</v>
      </c>
      <c r="D342" s="66">
        <v>83.75</v>
      </c>
      <c r="E342" s="66">
        <v>81.900000000000006</v>
      </c>
      <c r="F342" s="66">
        <v>58.68</v>
      </c>
      <c r="G342" s="66">
        <v>46.3</v>
      </c>
      <c r="H342" s="66">
        <v>78.099999999999994</v>
      </c>
      <c r="I342" s="66">
        <v>81.239999999999995</v>
      </c>
      <c r="J342" s="66">
        <v>62.23</v>
      </c>
      <c r="K342" s="66">
        <v>117.29</v>
      </c>
      <c r="L342" s="66">
        <v>128.91999999999999</v>
      </c>
      <c r="M342" s="66">
        <v>35.200000000000003</v>
      </c>
      <c r="N342" s="66">
        <v>116.6</v>
      </c>
      <c r="O342" s="66">
        <v>114.76</v>
      </c>
      <c r="P342" s="65" t="s">
        <v>208</v>
      </c>
      <c r="Q342" s="66">
        <v>122.8</v>
      </c>
      <c r="R342" s="66">
        <v>115.18</v>
      </c>
      <c r="S342" s="66">
        <v>119.61</v>
      </c>
    </row>
    <row r="343" spans="1:19" x14ac:dyDescent="0.35">
      <c r="A343" s="76">
        <v>45990</v>
      </c>
      <c r="B343" s="65" t="s">
        <v>540</v>
      </c>
      <c r="C343" s="66">
        <v>90.19</v>
      </c>
      <c r="D343" s="66">
        <v>84.42</v>
      </c>
      <c r="E343" s="66">
        <v>86.97</v>
      </c>
      <c r="F343" s="66">
        <v>72.680000000000007</v>
      </c>
      <c r="G343" s="66">
        <v>69.010000000000005</v>
      </c>
      <c r="H343" s="66">
        <v>73.81</v>
      </c>
      <c r="I343" s="66">
        <v>87.59</v>
      </c>
      <c r="J343" s="66">
        <v>68.73</v>
      </c>
      <c r="K343" s="66">
        <v>108.21</v>
      </c>
      <c r="L343" s="66">
        <v>121.38</v>
      </c>
      <c r="M343" s="66">
        <v>16.63</v>
      </c>
      <c r="N343" s="66">
        <v>114.78</v>
      </c>
      <c r="O343" s="66">
        <v>108.87</v>
      </c>
      <c r="P343" s="65" t="s">
        <v>208</v>
      </c>
      <c r="Q343" s="66">
        <v>114.28</v>
      </c>
      <c r="R343" s="66">
        <v>108.77</v>
      </c>
      <c r="S343" s="66">
        <v>111.04</v>
      </c>
    </row>
    <row r="344" spans="1:19" x14ac:dyDescent="0.35">
      <c r="A344" s="76">
        <v>45991</v>
      </c>
      <c r="B344" s="65" t="s">
        <v>541</v>
      </c>
      <c r="C344" s="66">
        <v>84.15</v>
      </c>
      <c r="D344" s="66">
        <v>80.37</v>
      </c>
      <c r="E344" s="66">
        <v>82.71</v>
      </c>
      <c r="F344" s="66">
        <v>60.01</v>
      </c>
      <c r="G344" s="66">
        <v>50.14</v>
      </c>
      <c r="H344" s="66">
        <v>78.33</v>
      </c>
      <c r="I344" s="66">
        <v>82.82</v>
      </c>
      <c r="J344" s="66">
        <v>65.55</v>
      </c>
      <c r="K344" s="66">
        <v>106.4</v>
      </c>
      <c r="L344" s="66">
        <v>110.34</v>
      </c>
      <c r="M344" s="66">
        <v>37.67</v>
      </c>
      <c r="N344" s="66">
        <v>108.8</v>
      </c>
      <c r="O344" s="66">
        <v>101.3</v>
      </c>
      <c r="P344" s="65" t="s">
        <v>208</v>
      </c>
      <c r="Q344" s="66">
        <v>109.83</v>
      </c>
      <c r="R344" s="66">
        <v>102.81</v>
      </c>
      <c r="S344" s="66">
        <v>102.87</v>
      </c>
    </row>
    <row r="345" spans="1:19" x14ac:dyDescent="0.35">
      <c r="A345" s="76">
        <v>45992</v>
      </c>
      <c r="B345" s="65" t="s">
        <v>542</v>
      </c>
      <c r="C345" s="66">
        <v>93.43</v>
      </c>
      <c r="D345" s="66">
        <v>100.25</v>
      </c>
      <c r="E345" s="66">
        <v>89.75</v>
      </c>
      <c r="F345" s="66">
        <v>70.41</v>
      </c>
      <c r="G345" s="66">
        <v>60.01</v>
      </c>
      <c r="H345" s="66">
        <v>77.989999999999995</v>
      </c>
      <c r="I345" s="66">
        <v>82.97</v>
      </c>
      <c r="J345" s="66">
        <v>70.290000000000006</v>
      </c>
      <c r="K345" s="66">
        <v>135.08000000000001</v>
      </c>
      <c r="L345" s="66">
        <v>202.77</v>
      </c>
      <c r="M345" s="66">
        <v>56.3</v>
      </c>
      <c r="N345" s="66">
        <v>124.21</v>
      </c>
      <c r="O345" s="66">
        <v>132.97</v>
      </c>
      <c r="P345" s="65" t="s">
        <v>208</v>
      </c>
      <c r="Q345" s="66">
        <v>131.03</v>
      </c>
      <c r="R345" s="66">
        <v>139.54</v>
      </c>
      <c r="S345" s="66">
        <v>154.4</v>
      </c>
    </row>
    <row r="346" spans="1:19" x14ac:dyDescent="0.35">
      <c r="A346" s="76">
        <v>45993</v>
      </c>
      <c r="B346" s="65" t="s">
        <v>543</v>
      </c>
      <c r="C346" s="66">
        <v>100.37</v>
      </c>
      <c r="D346" s="66">
        <v>103.25</v>
      </c>
      <c r="E346" s="66">
        <v>91.93</v>
      </c>
      <c r="F346" s="66">
        <v>82.07</v>
      </c>
      <c r="G346" s="66">
        <v>78.209999999999994</v>
      </c>
      <c r="H346" s="66">
        <v>83.13</v>
      </c>
      <c r="I346" s="66">
        <v>86</v>
      </c>
      <c r="J346" s="66">
        <v>70.94</v>
      </c>
      <c r="K346" s="66">
        <v>139.65</v>
      </c>
      <c r="L346" s="66">
        <v>166.91</v>
      </c>
      <c r="M346" s="66">
        <v>66.06</v>
      </c>
      <c r="N346" s="66">
        <v>130.97</v>
      </c>
      <c r="O346" s="66">
        <v>139.85</v>
      </c>
      <c r="P346" s="65" t="s">
        <v>208</v>
      </c>
      <c r="Q346" s="66">
        <v>133.41</v>
      </c>
      <c r="R346" s="66">
        <v>138.51</v>
      </c>
      <c r="S346" s="66">
        <v>145.88</v>
      </c>
    </row>
    <row r="347" spans="1:19" x14ac:dyDescent="0.35">
      <c r="A347" s="76">
        <v>45994</v>
      </c>
      <c r="B347" s="65" t="s">
        <v>544</v>
      </c>
      <c r="C347" s="66">
        <v>164.81</v>
      </c>
      <c r="D347" s="66">
        <v>134.88</v>
      </c>
      <c r="E347" s="66">
        <v>119</v>
      </c>
      <c r="F347" s="66">
        <v>144.87</v>
      </c>
      <c r="G347" s="66">
        <v>162.80000000000001</v>
      </c>
      <c r="H347" s="66">
        <v>89.92</v>
      </c>
      <c r="I347" s="66">
        <v>132.38</v>
      </c>
      <c r="J347" s="66">
        <v>90.74</v>
      </c>
      <c r="K347" s="66">
        <v>164.72</v>
      </c>
      <c r="L347" s="66">
        <v>168.89</v>
      </c>
      <c r="M347" s="66">
        <v>104.19</v>
      </c>
      <c r="N347" s="66">
        <v>139.69999999999999</v>
      </c>
      <c r="O347" s="66">
        <v>166.47</v>
      </c>
      <c r="P347" s="65" t="s">
        <v>208</v>
      </c>
      <c r="Q347" s="66">
        <v>145.46</v>
      </c>
      <c r="R347" s="66">
        <v>160.88</v>
      </c>
      <c r="S347" s="66">
        <v>164.93</v>
      </c>
    </row>
    <row r="348" spans="1:19" x14ac:dyDescent="0.35">
      <c r="A348" s="76">
        <v>45995</v>
      </c>
      <c r="B348" s="65" t="s">
        <v>545</v>
      </c>
      <c r="C348" s="66">
        <v>124.86</v>
      </c>
      <c r="D348" s="66">
        <v>114.85</v>
      </c>
      <c r="E348" s="66">
        <v>101.82</v>
      </c>
      <c r="F348" s="66">
        <v>122.68</v>
      </c>
      <c r="G348" s="66">
        <v>123.8</v>
      </c>
      <c r="H348" s="66">
        <v>76.17</v>
      </c>
      <c r="I348" s="66">
        <v>97.59</v>
      </c>
      <c r="J348" s="66">
        <v>92.81</v>
      </c>
      <c r="K348" s="66">
        <v>131.52000000000001</v>
      </c>
      <c r="L348" s="66">
        <v>141.59</v>
      </c>
      <c r="M348" s="66">
        <v>111.17</v>
      </c>
      <c r="N348" s="66">
        <v>133.66999999999999</v>
      </c>
      <c r="O348" s="66">
        <v>130.5</v>
      </c>
      <c r="P348" s="65" t="s">
        <v>208</v>
      </c>
      <c r="Q348" s="66">
        <v>131.86000000000001</v>
      </c>
      <c r="R348" s="66">
        <v>129.87</v>
      </c>
      <c r="S348" s="66">
        <v>132.31</v>
      </c>
    </row>
    <row r="349" spans="1:19" x14ac:dyDescent="0.35">
      <c r="A349" s="76">
        <v>45996</v>
      </c>
      <c r="B349" s="65" t="s">
        <v>546</v>
      </c>
      <c r="C349" s="66">
        <v>133.29</v>
      </c>
      <c r="D349" s="66">
        <v>119.1</v>
      </c>
      <c r="E349" s="66">
        <v>107.88</v>
      </c>
      <c r="F349" s="66">
        <v>130.5</v>
      </c>
      <c r="G349" s="66">
        <v>138.94</v>
      </c>
      <c r="H349" s="66">
        <v>80.010000000000005</v>
      </c>
      <c r="I349" s="66">
        <v>115.46</v>
      </c>
      <c r="J349" s="66">
        <v>77.41</v>
      </c>
      <c r="K349" s="66">
        <v>131.54</v>
      </c>
      <c r="L349" s="66">
        <v>136.33000000000001</v>
      </c>
      <c r="M349" s="66">
        <v>120.01</v>
      </c>
      <c r="N349" s="66">
        <v>138.47</v>
      </c>
      <c r="O349" s="66">
        <v>133.52000000000001</v>
      </c>
      <c r="P349" s="65" t="s">
        <v>208</v>
      </c>
      <c r="Q349" s="66">
        <v>132.43</v>
      </c>
      <c r="R349" s="66">
        <v>130.28</v>
      </c>
      <c r="S349" s="66">
        <v>132.79</v>
      </c>
    </row>
    <row r="350" spans="1:19" x14ac:dyDescent="0.35">
      <c r="A350" s="76">
        <v>45997</v>
      </c>
      <c r="B350" s="65" t="s">
        <v>547</v>
      </c>
      <c r="C350" s="66">
        <v>79.61</v>
      </c>
      <c r="D350" s="66">
        <v>77.930000000000007</v>
      </c>
      <c r="E350" s="66">
        <v>67.069999999999993</v>
      </c>
      <c r="F350" s="66">
        <v>73</v>
      </c>
      <c r="G350" s="66">
        <v>73.36</v>
      </c>
      <c r="H350" s="66">
        <v>25.16</v>
      </c>
      <c r="I350" s="66">
        <v>73.05</v>
      </c>
      <c r="J350" s="66">
        <v>71.11</v>
      </c>
      <c r="K350" s="66">
        <v>103.68</v>
      </c>
      <c r="L350" s="66">
        <v>117.14</v>
      </c>
      <c r="M350" s="66">
        <v>50.97</v>
      </c>
      <c r="N350" s="66">
        <v>106.05</v>
      </c>
      <c r="O350" s="66">
        <v>96.63</v>
      </c>
      <c r="P350" s="65" t="s">
        <v>208</v>
      </c>
      <c r="Q350" s="66">
        <v>108.13</v>
      </c>
      <c r="R350" s="66">
        <v>101.39</v>
      </c>
      <c r="S350" s="66">
        <v>102.05</v>
      </c>
    </row>
    <row r="351" spans="1:19" x14ac:dyDescent="0.35">
      <c r="A351" s="76">
        <v>45998</v>
      </c>
      <c r="B351" s="65" t="s">
        <v>548</v>
      </c>
      <c r="C351" s="66">
        <v>80.39</v>
      </c>
      <c r="D351" s="66">
        <v>76.86</v>
      </c>
      <c r="E351" s="66">
        <v>62.13</v>
      </c>
      <c r="F351" s="66">
        <v>80.09</v>
      </c>
      <c r="G351" s="66">
        <v>80.09</v>
      </c>
      <c r="H351" s="66">
        <v>20.18</v>
      </c>
      <c r="I351" s="66">
        <v>74.87</v>
      </c>
      <c r="J351" s="66">
        <v>69.38</v>
      </c>
      <c r="K351" s="66">
        <v>101.17</v>
      </c>
      <c r="L351" s="66">
        <v>107.25</v>
      </c>
      <c r="M351" s="66">
        <v>57.46</v>
      </c>
      <c r="N351" s="66">
        <v>103.15</v>
      </c>
      <c r="O351" s="66">
        <v>89.63</v>
      </c>
      <c r="P351" s="65" t="s">
        <v>208</v>
      </c>
      <c r="Q351" s="66">
        <v>104.03</v>
      </c>
      <c r="R351" s="66">
        <v>95.59</v>
      </c>
      <c r="S351" s="66">
        <v>94.9</v>
      </c>
    </row>
    <row r="352" spans="1:19" x14ac:dyDescent="0.35">
      <c r="A352" s="76">
        <v>45999</v>
      </c>
      <c r="B352" s="65" t="s">
        <v>549</v>
      </c>
      <c r="C352" s="66">
        <v>70.64</v>
      </c>
      <c r="D352" s="66">
        <v>73.39</v>
      </c>
      <c r="E352" s="66">
        <v>63.86</v>
      </c>
      <c r="F352" s="66">
        <v>52.93</v>
      </c>
      <c r="G352" s="66">
        <v>53.14</v>
      </c>
      <c r="H352" s="66">
        <v>34.75</v>
      </c>
      <c r="I352" s="66">
        <v>65.650000000000006</v>
      </c>
      <c r="J352" s="66">
        <v>59.24</v>
      </c>
      <c r="K352" s="66">
        <v>109.42</v>
      </c>
      <c r="L352" s="66">
        <v>110.44</v>
      </c>
      <c r="M352" s="66">
        <v>47.8</v>
      </c>
      <c r="N352" s="66">
        <v>105.54</v>
      </c>
      <c r="O352" s="66">
        <v>104.54</v>
      </c>
      <c r="P352" s="65" t="s">
        <v>208</v>
      </c>
      <c r="Q352" s="66">
        <v>105.72</v>
      </c>
      <c r="R352" s="66">
        <v>105.39</v>
      </c>
      <c r="S352" s="66">
        <v>106.54</v>
      </c>
    </row>
    <row r="353" spans="1:19" x14ac:dyDescent="0.35">
      <c r="A353" s="76">
        <v>46000</v>
      </c>
      <c r="B353" s="65" t="s">
        <v>550</v>
      </c>
      <c r="C353" s="66">
        <v>91.57</v>
      </c>
      <c r="D353" s="66">
        <v>87.31</v>
      </c>
      <c r="E353" s="66">
        <v>77.31</v>
      </c>
      <c r="F353" s="66">
        <v>81.760000000000005</v>
      </c>
      <c r="G353" s="66">
        <v>86.44</v>
      </c>
      <c r="H353" s="66">
        <v>28.79</v>
      </c>
      <c r="I353" s="66">
        <v>82.67</v>
      </c>
      <c r="J353" s="66">
        <v>77.760000000000005</v>
      </c>
      <c r="K353" s="66">
        <v>116.44</v>
      </c>
      <c r="L353" s="66">
        <v>111.57</v>
      </c>
      <c r="M353" s="66">
        <v>72.39</v>
      </c>
      <c r="N353" s="66">
        <v>117.97</v>
      </c>
      <c r="O353" s="66">
        <v>107.33</v>
      </c>
      <c r="P353" s="65" t="s">
        <v>208</v>
      </c>
      <c r="Q353" s="66">
        <v>114.43</v>
      </c>
      <c r="R353" s="66">
        <v>114.61</v>
      </c>
      <c r="S353" s="66">
        <v>114.67</v>
      </c>
    </row>
    <row r="354" spans="1:19" x14ac:dyDescent="0.35">
      <c r="A354" s="76">
        <v>46001</v>
      </c>
      <c r="B354" s="65" t="s">
        <v>551</v>
      </c>
      <c r="C354" s="66">
        <v>78.5</v>
      </c>
      <c r="D354" s="66">
        <v>78.069999999999993</v>
      </c>
      <c r="E354" s="66">
        <v>74.3</v>
      </c>
      <c r="F354" s="66">
        <v>54.27</v>
      </c>
      <c r="G354" s="66">
        <v>51.6</v>
      </c>
      <c r="H354" s="66">
        <v>67.45</v>
      </c>
      <c r="I354" s="66">
        <v>75.27</v>
      </c>
      <c r="J354" s="66">
        <v>55.39</v>
      </c>
      <c r="K354" s="66">
        <v>120.33</v>
      </c>
      <c r="L354" s="66">
        <v>109.12</v>
      </c>
      <c r="M354" s="66">
        <v>36.869999999999997</v>
      </c>
      <c r="N354" s="66">
        <v>116.81</v>
      </c>
      <c r="O354" s="66">
        <v>97.34</v>
      </c>
      <c r="P354" s="65" t="s">
        <v>208</v>
      </c>
      <c r="Q354" s="66">
        <v>118.81</v>
      </c>
      <c r="R354" s="66">
        <v>112.8</v>
      </c>
      <c r="S354" s="66">
        <v>122.75</v>
      </c>
    </row>
    <row r="355" spans="1:19" x14ac:dyDescent="0.35">
      <c r="A355" s="76">
        <v>46002</v>
      </c>
      <c r="B355" s="65" t="s">
        <v>552</v>
      </c>
      <c r="C355" s="66">
        <v>94.46</v>
      </c>
      <c r="D355" s="66">
        <v>83.23</v>
      </c>
      <c r="E355" s="66">
        <v>90.49</v>
      </c>
      <c r="F355" s="66">
        <v>53.88</v>
      </c>
      <c r="G355" s="66">
        <v>54.49</v>
      </c>
      <c r="H355" s="66">
        <v>79.89</v>
      </c>
      <c r="I355" s="66">
        <v>91.14</v>
      </c>
      <c r="J355" s="66">
        <v>58.3</v>
      </c>
      <c r="K355" s="66">
        <v>118.48</v>
      </c>
      <c r="L355" s="66">
        <v>103.77</v>
      </c>
      <c r="M355" s="66">
        <v>45.64</v>
      </c>
      <c r="N355" s="66">
        <v>116.59</v>
      </c>
      <c r="O355" s="66">
        <v>102.9</v>
      </c>
      <c r="P355" s="65" t="s">
        <v>208</v>
      </c>
      <c r="Q355" s="66">
        <v>117.42</v>
      </c>
      <c r="R355" s="66">
        <v>113.92</v>
      </c>
      <c r="S355" s="66">
        <v>118.52</v>
      </c>
    </row>
    <row r="356" spans="1:19" x14ac:dyDescent="0.35">
      <c r="A356" s="76">
        <v>46003</v>
      </c>
      <c r="B356" s="65" t="s">
        <v>553</v>
      </c>
      <c r="C356" s="66">
        <v>113.44</v>
      </c>
      <c r="D356" s="66">
        <v>107.29</v>
      </c>
      <c r="E356" s="66">
        <v>104.23</v>
      </c>
      <c r="F356" s="66">
        <v>108.38</v>
      </c>
      <c r="G356" s="66">
        <v>111.81</v>
      </c>
      <c r="H356" s="66">
        <v>83.51</v>
      </c>
      <c r="I356" s="66">
        <v>106.19</v>
      </c>
      <c r="J356" s="66">
        <v>91.92</v>
      </c>
      <c r="K356" s="66">
        <v>120</v>
      </c>
      <c r="L356" s="66">
        <v>118.54</v>
      </c>
      <c r="M356" s="66">
        <v>101.02</v>
      </c>
      <c r="N356" s="66">
        <v>117.66</v>
      </c>
      <c r="O356" s="66">
        <v>116.95</v>
      </c>
      <c r="P356" s="65" t="s">
        <v>208</v>
      </c>
      <c r="Q356" s="66">
        <v>115.46</v>
      </c>
      <c r="R356" s="66">
        <v>119.29</v>
      </c>
      <c r="S356" s="66">
        <v>119.24</v>
      </c>
    </row>
    <row r="357" spans="1:19" x14ac:dyDescent="0.35">
      <c r="A357" s="76">
        <v>46004</v>
      </c>
      <c r="B357" s="65" t="s">
        <v>554</v>
      </c>
      <c r="C357" s="66">
        <v>95.92</v>
      </c>
      <c r="D357" s="66">
        <v>90.52</v>
      </c>
      <c r="E357" s="66">
        <v>90.5</v>
      </c>
      <c r="F357" s="66">
        <v>86.8</v>
      </c>
      <c r="G357" s="66">
        <v>87.2</v>
      </c>
      <c r="H357" s="66">
        <v>76.400000000000006</v>
      </c>
      <c r="I357" s="66">
        <v>92.09</v>
      </c>
      <c r="J357" s="66">
        <v>65.58</v>
      </c>
      <c r="K357" s="66">
        <v>108.08</v>
      </c>
      <c r="L357" s="66">
        <v>107.81</v>
      </c>
      <c r="M357" s="66">
        <v>72.150000000000006</v>
      </c>
      <c r="N357" s="66">
        <v>107.4</v>
      </c>
      <c r="O357" s="66">
        <v>101.71</v>
      </c>
      <c r="P357" s="65" t="s">
        <v>208</v>
      </c>
      <c r="Q357" s="66">
        <v>107.48</v>
      </c>
      <c r="R357" s="66">
        <v>106.06</v>
      </c>
      <c r="S357" s="66">
        <v>105.99</v>
      </c>
    </row>
    <row r="358" spans="1:19" x14ac:dyDescent="0.35">
      <c r="A358" s="76">
        <v>46005</v>
      </c>
      <c r="B358" s="65" t="s">
        <v>555</v>
      </c>
      <c r="C358" s="66">
        <v>86.21</v>
      </c>
      <c r="D358" s="66">
        <v>72.84</v>
      </c>
      <c r="E358" s="66">
        <v>82.01</v>
      </c>
      <c r="F358" s="66">
        <v>41.74</v>
      </c>
      <c r="G358" s="66">
        <v>38.299999999999997</v>
      </c>
      <c r="H358" s="66">
        <v>69.58</v>
      </c>
      <c r="I358" s="66">
        <v>83.36</v>
      </c>
      <c r="J358" s="66">
        <v>47.93</v>
      </c>
      <c r="K358" s="66">
        <v>103.46</v>
      </c>
      <c r="L358" s="66">
        <v>97.91</v>
      </c>
      <c r="M358" s="66">
        <v>33.57</v>
      </c>
      <c r="N358" s="66">
        <v>106.44</v>
      </c>
      <c r="O358" s="66">
        <v>96.88</v>
      </c>
      <c r="P358" s="65" t="s">
        <v>208</v>
      </c>
      <c r="Q358" s="66">
        <v>106.92</v>
      </c>
      <c r="R358" s="66">
        <v>98.85</v>
      </c>
      <c r="S358" s="66">
        <v>99.44</v>
      </c>
    </row>
    <row r="359" spans="1:19" x14ac:dyDescent="0.35">
      <c r="A359" s="76">
        <v>46006</v>
      </c>
      <c r="B359" s="65" t="s">
        <v>556</v>
      </c>
      <c r="C359" s="66">
        <v>87.4</v>
      </c>
      <c r="D359" s="66">
        <v>86.36</v>
      </c>
      <c r="E359" s="66">
        <v>83.76</v>
      </c>
      <c r="F359" s="66">
        <v>67.03</v>
      </c>
      <c r="G359" s="66">
        <v>67.78</v>
      </c>
      <c r="H359" s="66">
        <v>73.88</v>
      </c>
      <c r="I359" s="66">
        <v>84.55</v>
      </c>
      <c r="J359" s="66">
        <v>56.63</v>
      </c>
      <c r="K359" s="66">
        <v>118.38</v>
      </c>
      <c r="L359" s="66">
        <v>116.66</v>
      </c>
      <c r="M359" s="66">
        <v>59.66</v>
      </c>
      <c r="N359" s="66">
        <v>114.78</v>
      </c>
      <c r="O359" s="66">
        <v>106.83</v>
      </c>
      <c r="P359" s="65" t="s">
        <v>208</v>
      </c>
      <c r="Q359" s="66">
        <v>116.72</v>
      </c>
      <c r="R359" s="66">
        <v>117.2</v>
      </c>
      <c r="S359" s="66">
        <v>118.87</v>
      </c>
    </row>
    <row r="360" spans="1:19" x14ac:dyDescent="0.35">
      <c r="A360" s="76">
        <v>46007</v>
      </c>
      <c r="B360" s="65" t="s">
        <v>557</v>
      </c>
      <c r="C360" s="66">
        <v>106.74</v>
      </c>
      <c r="D360" s="66">
        <v>106.8</v>
      </c>
      <c r="E360" s="66">
        <v>102.2</v>
      </c>
      <c r="F360" s="66">
        <v>105.04</v>
      </c>
      <c r="G360" s="66">
        <v>105.98</v>
      </c>
      <c r="H360" s="66">
        <v>91.58</v>
      </c>
      <c r="I360" s="66">
        <v>104.85</v>
      </c>
      <c r="J360" s="66">
        <v>77.64</v>
      </c>
      <c r="K360" s="66">
        <v>127.35</v>
      </c>
      <c r="L360" s="66">
        <v>129.58000000000001</v>
      </c>
      <c r="M360" s="66">
        <v>88.91</v>
      </c>
      <c r="N360" s="66">
        <v>121.31</v>
      </c>
      <c r="O360" s="66">
        <v>120.37</v>
      </c>
      <c r="P360" s="65" t="s">
        <v>208</v>
      </c>
      <c r="Q360" s="66">
        <v>122.32</v>
      </c>
      <c r="R360" s="66">
        <v>127.39</v>
      </c>
      <c r="S360" s="66">
        <v>140.6</v>
      </c>
    </row>
    <row r="361" spans="1:19" x14ac:dyDescent="0.35">
      <c r="A361" s="76">
        <v>46008</v>
      </c>
      <c r="B361" s="65" t="s">
        <v>558</v>
      </c>
      <c r="C361" s="66">
        <v>106.4</v>
      </c>
      <c r="D361" s="66">
        <v>105.16</v>
      </c>
      <c r="E361" s="66">
        <v>99.61</v>
      </c>
      <c r="F361" s="66">
        <v>103.83</v>
      </c>
      <c r="G361" s="66">
        <v>106</v>
      </c>
      <c r="H361" s="66">
        <v>85</v>
      </c>
      <c r="I361" s="66">
        <v>101.38</v>
      </c>
      <c r="J361" s="66">
        <v>72.61</v>
      </c>
      <c r="K361" s="66">
        <v>132.6</v>
      </c>
      <c r="L361" s="66">
        <v>123.8</v>
      </c>
      <c r="M361" s="66">
        <v>94.96</v>
      </c>
      <c r="N361" s="66">
        <v>119.26</v>
      </c>
      <c r="O361" s="66">
        <v>117.74</v>
      </c>
      <c r="P361" s="65" t="s">
        <v>208</v>
      </c>
      <c r="Q361" s="66">
        <v>119.71</v>
      </c>
      <c r="R361" s="66">
        <v>125.91</v>
      </c>
      <c r="S361" s="66">
        <v>129.33000000000001</v>
      </c>
    </row>
    <row r="362" spans="1:19" x14ac:dyDescent="0.35">
      <c r="A362" s="76">
        <v>46009</v>
      </c>
      <c r="B362" s="65" t="s">
        <v>559</v>
      </c>
      <c r="C362" s="66">
        <v>74.22</v>
      </c>
      <c r="D362" s="66">
        <v>80.59</v>
      </c>
      <c r="E362" s="66">
        <v>64.41</v>
      </c>
      <c r="F362" s="66">
        <v>58.75</v>
      </c>
      <c r="G362" s="66">
        <v>61.97</v>
      </c>
      <c r="H362" s="66">
        <v>34.25</v>
      </c>
      <c r="I362" s="66">
        <v>72.03</v>
      </c>
      <c r="J362" s="66">
        <v>55.56</v>
      </c>
      <c r="K362" s="66">
        <v>136.16999999999999</v>
      </c>
      <c r="L362" s="66">
        <v>117.43</v>
      </c>
      <c r="M362" s="66">
        <v>61.62</v>
      </c>
      <c r="N362" s="66">
        <v>120.97</v>
      </c>
      <c r="O362" s="66">
        <v>103.31</v>
      </c>
      <c r="P362" s="65" t="s">
        <v>208</v>
      </c>
      <c r="Q362" s="66">
        <v>119.63</v>
      </c>
      <c r="R362" s="66">
        <v>129.85</v>
      </c>
      <c r="S362" s="66">
        <v>146.93</v>
      </c>
    </row>
    <row r="363" spans="1:19" x14ac:dyDescent="0.35">
      <c r="A363" s="76">
        <v>46010</v>
      </c>
      <c r="B363" s="65" t="s">
        <v>560</v>
      </c>
      <c r="C363" s="66">
        <v>70.069999999999993</v>
      </c>
      <c r="D363" s="66">
        <v>73.45</v>
      </c>
      <c r="E363" s="66">
        <v>69.069999999999993</v>
      </c>
      <c r="F363" s="66">
        <v>47.06</v>
      </c>
      <c r="G363" s="66">
        <v>56.16</v>
      </c>
      <c r="H363" s="66">
        <v>67.58</v>
      </c>
      <c r="I363" s="66">
        <v>68.48</v>
      </c>
      <c r="J363" s="66">
        <v>45.58</v>
      </c>
      <c r="K363" s="66">
        <v>123.84</v>
      </c>
      <c r="L363" s="66">
        <v>101.49</v>
      </c>
      <c r="M363" s="66">
        <v>8.56</v>
      </c>
      <c r="N363" s="66">
        <v>119.22</v>
      </c>
      <c r="O363" s="66">
        <v>100.9</v>
      </c>
      <c r="P363" s="65" t="s">
        <v>208</v>
      </c>
      <c r="Q363" s="66">
        <v>118.63</v>
      </c>
      <c r="R363" s="66">
        <v>119.91</v>
      </c>
      <c r="S363" s="66">
        <v>134.46</v>
      </c>
    </row>
    <row r="364" spans="1:19" x14ac:dyDescent="0.35">
      <c r="A364" s="76">
        <v>46011</v>
      </c>
      <c r="B364" s="65" t="s">
        <v>561</v>
      </c>
      <c r="C364" s="66">
        <v>103.06</v>
      </c>
      <c r="D364" s="66">
        <v>88.4</v>
      </c>
      <c r="E364" s="66">
        <v>93.51</v>
      </c>
      <c r="F364" s="66">
        <v>96.51</v>
      </c>
      <c r="G364" s="66">
        <v>98.47</v>
      </c>
      <c r="H364" s="66">
        <v>70.16</v>
      </c>
      <c r="I364" s="66">
        <v>97.6</v>
      </c>
      <c r="J364" s="66">
        <v>65.98</v>
      </c>
      <c r="K364" s="66">
        <v>111.16</v>
      </c>
      <c r="L364" s="66">
        <v>113.87</v>
      </c>
      <c r="M364" s="66">
        <v>11.42</v>
      </c>
      <c r="N364" s="66">
        <v>106.46</v>
      </c>
      <c r="O364" s="66">
        <v>107.28</v>
      </c>
      <c r="P364" s="65" t="s">
        <v>208</v>
      </c>
      <c r="Q364" s="66">
        <v>111.29</v>
      </c>
      <c r="R364" s="66">
        <v>110.76</v>
      </c>
      <c r="S364" s="66">
        <v>110.21</v>
      </c>
    </row>
    <row r="365" spans="1:19" x14ac:dyDescent="0.35">
      <c r="A365" s="76">
        <v>46012</v>
      </c>
      <c r="B365" s="65" t="s">
        <v>562</v>
      </c>
      <c r="C365" s="66">
        <v>91.57</v>
      </c>
      <c r="D365" s="66">
        <v>88.65</v>
      </c>
      <c r="E365" s="66">
        <v>83.18</v>
      </c>
      <c r="F365" s="66">
        <v>90.31</v>
      </c>
      <c r="G365" s="66">
        <v>90.61</v>
      </c>
      <c r="H365" s="66">
        <v>61.48</v>
      </c>
      <c r="I365" s="66">
        <v>86.96</v>
      </c>
      <c r="J365" s="66">
        <v>68.81</v>
      </c>
      <c r="K365" s="66">
        <v>106.42</v>
      </c>
      <c r="L365" s="66">
        <v>114.55</v>
      </c>
      <c r="M365" s="66">
        <v>65.02</v>
      </c>
      <c r="N365" s="66">
        <v>107.64</v>
      </c>
      <c r="O365" s="66">
        <v>100.14</v>
      </c>
      <c r="P365" s="65" t="s">
        <v>208</v>
      </c>
      <c r="Q365" s="66">
        <v>107.63</v>
      </c>
      <c r="R365" s="66">
        <v>105.45</v>
      </c>
      <c r="S365" s="66">
        <v>106.35</v>
      </c>
    </row>
    <row r="366" spans="1:19" x14ac:dyDescent="0.35">
      <c r="A366" s="76">
        <v>46013</v>
      </c>
      <c r="B366" s="65" t="s">
        <v>563</v>
      </c>
      <c r="C366" s="66">
        <v>85.55</v>
      </c>
      <c r="D366" s="66">
        <v>91.18</v>
      </c>
      <c r="E366" s="66">
        <v>82.74</v>
      </c>
      <c r="F366" s="66">
        <v>82.57</v>
      </c>
      <c r="G366" s="66">
        <v>82.57</v>
      </c>
      <c r="H366" s="66">
        <v>72.89</v>
      </c>
      <c r="I366" s="66">
        <v>84.78</v>
      </c>
      <c r="J366" s="66">
        <v>73.709999999999994</v>
      </c>
      <c r="K366" s="66">
        <v>110.49</v>
      </c>
      <c r="L366" s="66">
        <v>124.72</v>
      </c>
      <c r="M366" s="66">
        <v>74.19</v>
      </c>
      <c r="N366" s="66">
        <v>113.06</v>
      </c>
      <c r="O366" s="66">
        <v>101.24</v>
      </c>
      <c r="P366" s="65" t="s">
        <v>208</v>
      </c>
      <c r="Q366" s="66">
        <v>113.72</v>
      </c>
      <c r="R366" s="66">
        <v>110.63</v>
      </c>
      <c r="S366" s="66">
        <v>114.66</v>
      </c>
    </row>
    <row r="367" spans="1:19" x14ac:dyDescent="0.35">
      <c r="A367" s="76">
        <v>46014</v>
      </c>
      <c r="B367" s="65" t="s">
        <v>564</v>
      </c>
      <c r="C367" s="66">
        <v>74.73</v>
      </c>
      <c r="D367" s="66">
        <v>86.12</v>
      </c>
      <c r="E367" s="66">
        <v>76.12</v>
      </c>
      <c r="F367" s="66">
        <v>74.540000000000006</v>
      </c>
      <c r="G367" s="66">
        <v>74.540000000000006</v>
      </c>
      <c r="H367" s="66">
        <v>76.290000000000006</v>
      </c>
      <c r="I367" s="66">
        <v>77</v>
      </c>
      <c r="J367" s="66">
        <v>68.849999999999994</v>
      </c>
      <c r="K367" s="66">
        <v>107.78</v>
      </c>
      <c r="L367" s="66">
        <v>111.21</v>
      </c>
      <c r="M367" s="66">
        <v>70.66</v>
      </c>
      <c r="N367" s="66">
        <v>113.91</v>
      </c>
      <c r="O367" s="66">
        <v>96.47</v>
      </c>
      <c r="P367" s="65" t="s">
        <v>208</v>
      </c>
      <c r="Q367" s="66">
        <v>113.74</v>
      </c>
      <c r="R367" s="66">
        <v>103.69</v>
      </c>
      <c r="S367" s="66">
        <v>110.33</v>
      </c>
    </row>
    <row r="368" spans="1:19" x14ac:dyDescent="0.35">
      <c r="A368" s="76">
        <v>46015</v>
      </c>
      <c r="B368" s="65" t="s">
        <v>565</v>
      </c>
      <c r="C368" s="66">
        <v>69.38</v>
      </c>
      <c r="D368" s="66">
        <v>74.3</v>
      </c>
      <c r="E368" s="66">
        <v>60.83</v>
      </c>
      <c r="F368" s="66">
        <v>69.459999999999994</v>
      </c>
      <c r="G368" s="66">
        <v>69.760000000000005</v>
      </c>
      <c r="H368" s="66">
        <v>37.369999999999997</v>
      </c>
      <c r="I368" s="66">
        <v>66.05</v>
      </c>
      <c r="J368" s="66">
        <v>66.239999999999995</v>
      </c>
      <c r="K368" s="66">
        <v>96.83</v>
      </c>
      <c r="L368" s="66">
        <v>90.57</v>
      </c>
      <c r="M368" s="66">
        <v>70.12</v>
      </c>
      <c r="N368" s="66">
        <v>104.84</v>
      </c>
      <c r="O368" s="66">
        <v>85.23</v>
      </c>
      <c r="P368" s="65" t="s">
        <v>208</v>
      </c>
      <c r="Q368" s="66">
        <v>110.6</v>
      </c>
      <c r="R368" s="66">
        <v>92.01</v>
      </c>
      <c r="S368" s="66">
        <v>90.75</v>
      </c>
    </row>
    <row r="369" spans="1:19" x14ac:dyDescent="0.35">
      <c r="A369" s="76">
        <v>46016</v>
      </c>
      <c r="B369" s="65" t="s">
        <v>566</v>
      </c>
      <c r="C369" s="66">
        <v>69.75</v>
      </c>
      <c r="D369" s="66">
        <v>70.989999999999995</v>
      </c>
      <c r="E369" s="66">
        <v>63.32</v>
      </c>
      <c r="F369" s="66">
        <v>69.8</v>
      </c>
      <c r="G369" s="66">
        <v>69.75</v>
      </c>
      <c r="H369" s="66">
        <v>47.43</v>
      </c>
      <c r="I369" s="66">
        <v>66.45</v>
      </c>
      <c r="J369" s="66">
        <v>63.89</v>
      </c>
      <c r="K369" s="66">
        <v>90.33</v>
      </c>
      <c r="L369" s="66">
        <v>96.77</v>
      </c>
      <c r="M369" s="66">
        <v>30</v>
      </c>
      <c r="N369" s="66">
        <v>101.07</v>
      </c>
      <c r="O369" s="66">
        <v>82.07</v>
      </c>
      <c r="P369" s="65" t="s">
        <v>208</v>
      </c>
      <c r="Q369" s="66">
        <v>106.8</v>
      </c>
      <c r="R369" s="66">
        <v>86.39</v>
      </c>
      <c r="S369" s="66">
        <v>86.67</v>
      </c>
    </row>
    <row r="370" spans="1:19" x14ac:dyDescent="0.35">
      <c r="A370" s="76">
        <v>46017</v>
      </c>
      <c r="B370" s="65" t="s">
        <v>567</v>
      </c>
      <c r="C370" s="66">
        <v>97.53</v>
      </c>
      <c r="D370" s="66">
        <v>90.36</v>
      </c>
      <c r="E370" s="66">
        <v>94.69</v>
      </c>
      <c r="F370" s="66">
        <v>97.53</v>
      </c>
      <c r="G370" s="66">
        <v>97.54</v>
      </c>
      <c r="H370" s="66">
        <v>87.37</v>
      </c>
      <c r="I370" s="66">
        <v>96.13</v>
      </c>
      <c r="J370" s="66">
        <v>73.59</v>
      </c>
      <c r="K370" s="66">
        <v>98.46</v>
      </c>
      <c r="L370" s="66">
        <v>101.37</v>
      </c>
      <c r="M370" s="66">
        <v>48.36</v>
      </c>
      <c r="N370" s="66">
        <v>100.97</v>
      </c>
      <c r="O370" s="66">
        <v>97.94</v>
      </c>
      <c r="P370" s="65" t="s">
        <v>208</v>
      </c>
      <c r="Q370" s="66">
        <v>107.33</v>
      </c>
      <c r="R370" s="66">
        <v>98.59</v>
      </c>
      <c r="S370" s="66">
        <v>98.28</v>
      </c>
    </row>
    <row r="371" spans="1:19" x14ac:dyDescent="0.35">
      <c r="A371" s="76">
        <v>46018</v>
      </c>
      <c r="B371" s="65" t="s">
        <v>568</v>
      </c>
      <c r="C371" s="66">
        <v>91.44</v>
      </c>
      <c r="D371" s="66">
        <v>79.69</v>
      </c>
      <c r="E371" s="66">
        <v>88.64</v>
      </c>
      <c r="F371" s="66">
        <v>81.569999999999993</v>
      </c>
      <c r="G371" s="66">
        <v>75.25</v>
      </c>
      <c r="H371" s="66">
        <v>80.47</v>
      </c>
      <c r="I371" s="66">
        <v>90.29</v>
      </c>
      <c r="J371" s="66">
        <v>67.55</v>
      </c>
      <c r="K371" s="66">
        <v>95.76</v>
      </c>
      <c r="L371" s="66">
        <v>94.46</v>
      </c>
      <c r="M371" s="66">
        <v>0.68</v>
      </c>
      <c r="N371" s="66">
        <v>104.47</v>
      </c>
      <c r="O371" s="66">
        <v>97.43</v>
      </c>
      <c r="P371" s="65" t="s">
        <v>208</v>
      </c>
      <c r="Q371" s="66">
        <v>102.99</v>
      </c>
      <c r="R371" s="66">
        <v>96.6</v>
      </c>
      <c r="S371" s="66">
        <v>97.76</v>
      </c>
    </row>
    <row r="372" spans="1:19" x14ac:dyDescent="0.35">
      <c r="A372" s="76">
        <v>46019</v>
      </c>
      <c r="B372" s="65" t="s">
        <v>569</v>
      </c>
      <c r="C372" s="66">
        <v>92.77</v>
      </c>
      <c r="D372" s="66">
        <v>80.69</v>
      </c>
      <c r="E372" s="66">
        <v>90.57</v>
      </c>
      <c r="F372" s="66">
        <v>80.739999999999995</v>
      </c>
      <c r="G372" s="66">
        <v>72.290000000000006</v>
      </c>
      <c r="H372" s="66">
        <v>84.07</v>
      </c>
      <c r="I372" s="66">
        <v>92.46</v>
      </c>
      <c r="J372" s="66">
        <v>70.8</v>
      </c>
      <c r="K372" s="66">
        <v>94.1</v>
      </c>
      <c r="L372" s="66">
        <v>88.42</v>
      </c>
      <c r="M372" s="66">
        <v>17.559999999999999</v>
      </c>
      <c r="N372" s="66">
        <v>101.57</v>
      </c>
      <c r="O372" s="66">
        <v>95.07</v>
      </c>
      <c r="P372" s="65" t="s">
        <v>208</v>
      </c>
      <c r="Q372" s="66">
        <v>104.38</v>
      </c>
      <c r="R372" s="66">
        <v>93.92</v>
      </c>
      <c r="S372" s="66">
        <v>94.06</v>
      </c>
    </row>
    <row r="373" spans="1:19" x14ac:dyDescent="0.35">
      <c r="A373" s="76">
        <v>46020</v>
      </c>
      <c r="B373" s="65" t="s">
        <v>570</v>
      </c>
      <c r="C373" s="66">
        <v>94.35</v>
      </c>
      <c r="D373" s="66">
        <v>84.65</v>
      </c>
      <c r="E373" s="66">
        <v>95.18</v>
      </c>
      <c r="F373" s="66">
        <v>74.3</v>
      </c>
      <c r="G373" s="66">
        <v>57.37</v>
      </c>
      <c r="H373" s="66">
        <v>94.47</v>
      </c>
      <c r="I373" s="66">
        <v>96.22</v>
      </c>
      <c r="J373" s="66">
        <v>70.05</v>
      </c>
      <c r="K373" s="66">
        <v>98.95</v>
      </c>
      <c r="L373" s="66">
        <v>99.33</v>
      </c>
      <c r="M373" s="66">
        <v>35.99</v>
      </c>
      <c r="N373" s="66">
        <v>109.15</v>
      </c>
      <c r="O373" s="66">
        <v>100.17</v>
      </c>
      <c r="P373" s="65" t="s">
        <v>208</v>
      </c>
      <c r="Q373" s="66">
        <v>113.66</v>
      </c>
      <c r="R373" s="66">
        <v>101.45</v>
      </c>
      <c r="S373" s="66">
        <v>108.64</v>
      </c>
    </row>
    <row r="374" spans="1:19" x14ac:dyDescent="0.35">
      <c r="A374" s="76">
        <v>46021</v>
      </c>
      <c r="B374" s="65" t="s">
        <v>571</v>
      </c>
      <c r="C374" s="66">
        <v>87.76</v>
      </c>
      <c r="D374" s="66">
        <v>84.15</v>
      </c>
      <c r="E374" s="66">
        <v>86.9</v>
      </c>
      <c r="F374" s="66">
        <v>86.9</v>
      </c>
      <c r="G374" s="66">
        <v>72.010000000000005</v>
      </c>
      <c r="H374" s="66">
        <v>84.37</v>
      </c>
      <c r="I374" s="66">
        <v>87.29</v>
      </c>
      <c r="J374" s="66">
        <v>82.93</v>
      </c>
      <c r="K374" s="66">
        <v>89.88</v>
      </c>
      <c r="L374" s="66">
        <v>83.46</v>
      </c>
      <c r="M374" s="66">
        <v>52.1</v>
      </c>
      <c r="N374" s="66">
        <v>109.07</v>
      </c>
      <c r="O374" s="66">
        <v>90.71</v>
      </c>
      <c r="P374" s="65" t="s">
        <v>208</v>
      </c>
      <c r="Q374" s="66">
        <v>109.05</v>
      </c>
      <c r="R374" s="66">
        <v>90.52</v>
      </c>
      <c r="S374" s="66">
        <v>89.77</v>
      </c>
    </row>
    <row r="375" spans="1:19" x14ac:dyDescent="0.35">
      <c r="A375" s="76">
        <v>46022</v>
      </c>
      <c r="B375" s="65" t="s">
        <v>572</v>
      </c>
      <c r="C375" s="66">
        <v>87.31</v>
      </c>
      <c r="D375" s="66">
        <v>91.18</v>
      </c>
      <c r="E375" s="66">
        <v>88.85</v>
      </c>
      <c r="F375" s="66">
        <v>86.23</v>
      </c>
      <c r="G375" s="66">
        <v>86.28</v>
      </c>
      <c r="H375" s="66">
        <v>89.07</v>
      </c>
      <c r="I375" s="66">
        <v>87.46</v>
      </c>
      <c r="J375" s="66">
        <v>85.68</v>
      </c>
      <c r="K375" s="66">
        <v>93.22</v>
      </c>
      <c r="L375" s="66">
        <v>104.68</v>
      </c>
      <c r="M375" s="66">
        <v>79.47</v>
      </c>
      <c r="N375" s="66">
        <v>104.53</v>
      </c>
      <c r="O375" s="66">
        <v>97.52</v>
      </c>
      <c r="P375" s="65" t="s">
        <v>208</v>
      </c>
      <c r="Q375" s="66">
        <v>109.85</v>
      </c>
      <c r="R375" s="66">
        <v>95.43</v>
      </c>
      <c r="S375" s="66">
        <v>100.12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9831-9350-4FC7-8453-7CD436EB2569}">
  <dimension ref="A1:C13"/>
  <sheetViews>
    <sheetView workbookViewId="0">
      <selection activeCell="H14" sqref="H14"/>
    </sheetView>
  </sheetViews>
  <sheetFormatPr baseColWidth="10" defaultRowHeight="14.5" x14ac:dyDescent="0.35"/>
  <cols>
    <col min="1" max="1" width="18.453125" customWidth="1"/>
    <col min="2" max="2" width="24.36328125" customWidth="1"/>
  </cols>
  <sheetData>
    <row r="1" spans="1:3" ht="18.5" x14ac:dyDescent="0.45">
      <c r="A1" s="64" t="s">
        <v>584</v>
      </c>
      <c r="B1" s="64"/>
      <c r="C1" s="64"/>
    </row>
    <row r="3" spans="1:3" x14ac:dyDescent="0.35">
      <c r="A3" s="82" t="s">
        <v>149</v>
      </c>
      <c r="B3" s="83" t="s">
        <v>165</v>
      </c>
      <c r="C3" s="83" t="s">
        <v>0</v>
      </c>
    </row>
    <row r="4" spans="1:3" x14ac:dyDescent="0.35">
      <c r="A4" s="75" t="s">
        <v>150</v>
      </c>
      <c r="B4" s="84" t="s">
        <v>164</v>
      </c>
      <c r="C4" s="85">
        <v>45658</v>
      </c>
    </row>
    <row r="5" spans="1:3" x14ac:dyDescent="0.35">
      <c r="A5" s="75" t="s">
        <v>151</v>
      </c>
      <c r="B5" s="84" t="s">
        <v>161</v>
      </c>
      <c r="C5" s="85">
        <v>45765</v>
      </c>
    </row>
    <row r="6" spans="1:3" x14ac:dyDescent="0.35">
      <c r="A6" s="75" t="s">
        <v>152</v>
      </c>
      <c r="B6" s="84" t="s">
        <v>162</v>
      </c>
      <c r="C6" s="85">
        <v>45768</v>
      </c>
    </row>
    <row r="7" spans="1:3" x14ac:dyDescent="0.35">
      <c r="A7" s="75" t="s">
        <v>153</v>
      </c>
      <c r="B7" s="84" t="s">
        <v>163</v>
      </c>
      <c r="C7" s="85">
        <v>45778</v>
      </c>
    </row>
    <row r="8" spans="1:3" x14ac:dyDescent="0.35">
      <c r="A8" s="75" t="s">
        <v>154</v>
      </c>
      <c r="B8" s="84" t="s">
        <v>163</v>
      </c>
      <c r="C8" s="85">
        <v>45806</v>
      </c>
    </row>
    <row r="9" spans="1:3" x14ac:dyDescent="0.35">
      <c r="A9" s="75" t="s">
        <v>155</v>
      </c>
      <c r="B9" s="84" t="s">
        <v>162</v>
      </c>
      <c r="C9" s="85">
        <v>45817</v>
      </c>
    </row>
    <row r="10" spans="1:3" x14ac:dyDescent="0.35">
      <c r="A10" s="75" t="s">
        <v>156</v>
      </c>
      <c r="B10" s="84" t="s">
        <v>163</v>
      </c>
      <c r="C10" s="85">
        <v>45827</v>
      </c>
    </row>
    <row r="11" spans="1:3" x14ac:dyDescent="0.35">
      <c r="A11" s="75" t="s">
        <v>157</v>
      </c>
      <c r="B11" s="84" t="s">
        <v>161</v>
      </c>
      <c r="C11" s="85">
        <v>45933</v>
      </c>
    </row>
    <row r="12" spans="1:3" x14ac:dyDescent="0.35">
      <c r="A12" s="75" t="s">
        <v>158</v>
      </c>
      <c r="B12" s="84" t="s">
        <v>163</v>
      </c>
      <c r="C12" s="85">
        <v>46016</v>
      </c>
    </row>
    <row r="13" spans="1:3" x14ac:dyDescent="0.35">
      <c r="A13" s="75" t="s">
        <v>159</v>
      </c>
      <c r="B13" s="84" t="s">
        <v>161</v>
      </c>
      <c r="C13" s="85">
        <v>46017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Übersicht</vt:lpstr>
      <vt:lpstr>KPI</vt:lpstr>
      <vt:lpstr>Annahmen</vt:lpstr>
      <vt:lpstr>Kunde-SLP_Tagesmodell</vt:lpstr>
      <vt:lpstr>Sensitivität</vt:lpstr>
      <vt:lpstr>BDEW-H25 Tagessummen</vt:lpstr>
      <vt:lpstr>Quelle_BDEW_H25</vt:lpstr>
      <vt:lpstr>Quelle_BDEW_Dynamisierung</vt:lpstr>
      <vt:lpstr>Quelle_SMARD_Preise_2025</vt:lpstr>
      <vt:lpstr>Feiertage_Hessen_2025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Shrikant Kulkarni</dc:creator>
  <cp:lastModifiedBy>Siddhi Shrikant Kulkarni</cp:lastModifiedBy>
  <dcterms:created xsi:type="dcterms:W3CDTF">2026-07-27T16:17:50Z</dcterms:created>
  <dcterms:modified xsi:type="dcterms:W3CDTF">2026-08-02T18:49:00Z</dcterms:modified>
</cp:coreProperties>
</file>